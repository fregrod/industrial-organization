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 e Dados" sheetId="1" state="visible" r:id="rId1"/>
    <sheet xmlns:r="http://schemas.openxmlformats.org/officeDocument/2006/relationships" name="Estratégia 1 - Nivelamento" sheetId="2" state="visible" r:id="rId2"/>
    <sheet xmlns:r="http://schemas.openxmlformats.org/officeDocument/2006/relationships" name="Estratégia 2 - Acompanhamento" sheetId="3" state="visible" r:id="rId3"/>
    <sheet xmlns:r="http://schemas.openxmlformats.org/officeDocument/2006/relationships" name="Estratégia 3 - Híbrida" sheetId="4" state="visible" r:id="rId4"/>
    <sheet xmlns:r="http://schemas.openxmlformats.org/officeDocument/2006/relationships" name="Comparativo Financei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3"/>
    </font>
    <font>
      <name val="Arial"/>
      <i val="1"/>
      <color rgb="004A5568"/>
      <sz val="10"/>
    </font>
    <font>
      <name val="Arial"/>
      <b val="1"/>
      <color rgb="00FFFFFF"/>
      <sz val="9.5"/>
    </font>
    <font>
      <name val="Arial"/>
      <sz val="9"/>
    </font>
    <font>
      <name val="Arial"/>
      <b val="1"/>
      <sz val="9"/>
    </font>
    <font>
      <name val="Arial"/>
      <b val="1"/>
      <color rgb="001B365D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CE6F1"/>
        <bgColor rgb="00DCE6F1"/>
      </patternFill>
    </fill>
    <fill>
      <patternFill patternType="solid">
        <fgColor rgb="00EDF2F7"/>
        <bgColor rgb="00EDF2F7"/>
      </patternFill>
    </fill>
    <fill>
      <patternFill patternType="solid">
        <fgColor rgb="001C4532"/>
        <bgColor rgb="001C4532"/>
      </patternFill>
    </fill>
    <fill>
      <patternFill patternType="solid">
        <fgColor rgb="00C6F6D5"/>
        <bgColor rgb="00C6F6D5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5" fillId="3" borderId="2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5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/>
    </xf>
    <xf numFmtId="165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1" workbookViewId="0">
      <selection activeCell="A1" sqref="A1"/>
    </sheetView>
  </sheetViews>
  <sheetFormatPr baseColWidth="8" defaultRowHeight="15" outlineLevelCol="0"/>
  <cols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5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Planejamento Agregado da Produção (PAP) - Parâmetros Gerais</t>
        </is>
      </c>
    </row>
    <row r="4">
      <c r="B4" s="2" t="inlineStr">
        <is>
          <t>Base Cadastral, Custos Operacionais e Demanda Mensal</t>
        </is>
      </c>
    </row>
    <row r="6" ht="24" customHeight="1">
      <c r="B6" s="3" t="inlineStr">
        <is>
          <t>PARÂMETRO OPERACIONAL</t>
        </is>
      </c>
      <c r="C6" s="3" t="inlineStr">
        <is>
          <t>VALOR</t>
        </is>
      </c>
      <c r="D6" s="3" t="inlineStr">
        <is>
          <t>UNIDADE</t>
        </is>
      </c>
      <c r="E6" s="3" t="inlineStr">
        <is>
          <t>DESCRIÇÃO / BASE LEGAL</t>
        </is>
      </c>
    </row>
    <row r="7">
      <c r="B7" s="4" t="inlineStr">
        <is>
          <t>Quadro Base de Operadoras (Costureiras)</t>
        </is>
      </c>
      <c r="C7" s="5" t="n">
        <v>20</v>
      </c>
      <c r="D7" s="4" t="inlineStr">
        <is>
          <t>costureiras</t>
        </is>
      </c>
      <c r="E7" s="4" t="inlineStr">
        <is>
          <t>Força de trabalho efetiva inicial</t>
        </is>
      </c>
    </row>
    <row r="8">
      <c r="B8" s="4" t="inlineStr">
        <is>
          <t>Jornada Mensal Líquida por Operadora</t>
        </is>
      </c>
      <c r="C8" s="5" t="n">
        <v>160</v>
      </c>
      <c r="D8" s="4" t="inlineStr">
        <is>
          <t>horas/mês</t>
        </is>
      </c>
      <c r="E8" s="4" t="inlineStr">
        <is>
          <t>44h semanais com pausas da NR-17</t>
        </is>
      </c>
    </row>
    <row r="9">
      <c r="B9" s="4" t="inlineStr">
        <is>
          <t>Tempo Padrão no Gargalo da Costura (TP)</t>
        </is>
      </c>
      <c r="C9" s="6" t="n">
        <v>0.8</v>
      </c>
      <c r="D9" s="4" t="inlineStr">
        <is>
          <t>horas/conjunto</t>
        </is>
      </c>
      <c r="E9" s="4" t="inlineStr">
        <is>
          <t>Cronoanálise na costura (48 minutos)</t>
        </is>
      </c>
    </row>
    <row r="10">
      <c r="B10" s="4" t="inlineStr">
        <is>
          <t>Produtividade Normal por Costureira</t>
        </is>
      </c>
      <c r="C10" s="5" t="n">
        <v>200</v>
      </c>
      <c r="D10" s="4" t="inlineStr">
        <is>
          <t>conjuntos/mês</t>
        </is>
      </c>
      <c r="E10" s="4" t="inlineStr">
        <is>
          <t>160 h ÷ 0.80 h/conjunto</t>
        </is>
      </c>
    </row>
    <row r="11">
      <c r="B11" s="4" t="inlineStr">
        <is>
          <t>Capacidade Normal Base da Fábrica (20 op.)</t>
        </is>
      </c>
      <c r="C11" s="5" t="n">
        <v>4000</v>
      </c>
      <c r="D11" s="4" t="inlineStr">
        <is>
          <t>conjuntos/mês</t>
        </is>
      </c>
      <c r="E11" s="4" t="inlineStr">
        <is>
          <t>20 operadoras × 200 un/mês</t>
        </is>
      </c>
    </row>
    <row r="12">
      <c r="B12" s="4" t="inlineStr">
        <is>
          <t>Estoque Inicial de Segurança (Mês 0)</t>
        </is>
      </c>
      <c r="C12" s="5" t="n">
        <v>400</v>
      </c>
      <c r="D12" s="4" t="inlineStr">
        <is>
          <t>conjuntos</t>
        </is>
      </c>
      <c r="E12" s="4" t="inlineStr">
        <is>
          <t>Estoque de segurança do ano anterior</t>
        </is>
      </c>
    </row>
    <row r="13">
      <c r="B13" s="4" t="inlineStr">
        <is>
          <t>Estoque Final Desejado (Mês 12)</t>
        </is>
      </c>
      <c r="C13" s="5" t="n">
        <v>400</v>
      </c>
      <c r="D13" s="4" t="inlineStr">
        <is>
          <t>conjuntos</t>
        </is>
      </c>
      <c r="E13" s="4" t="inlineStr">
        <is>
          <t>Estoque para inauguração do ano seguinte</t>
        </is>
      </c>
    </row>
    <row r="14">
      <c r="B14" s="4" t="inlineStr">
        <is>
          <t>Limite Legal de Horas Extras (CLT Art. 59)</t>
        </is>
      </c>
      <c r="C14" s="7" t="n">
        <v>0.25</v>
      </c>
      <c r="D14" s="4" t="inlineStr">
        <is>
          <t>da jornada (25%)</t>
        </is>
      </c>
      <c r="E14" s="4" t="inlineStr">
        <is>
          <t>Até 2h extras/dia = máx. 800 un/mês</t>
        </is>
      </c>
    </row>
    <row r="15">
      <c r="B15" s="4" t="inlineStr">
        <is>
          <t>Custo de Produção em Turno Normal (cn)</t>
        </is>
      </c>
      <c r="C15" s="8" t="n">
        <v>38</v>
      </c>
      <c r="D15" s="4" t="inlineStr">
        <is>
          <t>R$ / conjunto</t>
        </is>
      </c>
      <c r="E15" s="4" t="inlineStr">
        <is>
          <t>Tecido, aviamentos, MOD direta e CIF</t>
        </is>
      </c>
    </row>
    <row r="16">
      <c r="B16" s="4" t="inlineStr">
        <is>
          <t>Custo em Turno Extra / Hora Extra (che)</t>
        </is>
      </c>
      <c r="C16" s="8" t="n">
        <v>46</v>
      </c>
      <c r="D16" s="4" t="inlineStr">
        <is>
          <t>R$ / conjunto</t>
        </is>
      </c>
      <c r="E16" s="4" t="inlineStr">
        <is>
          <t>Adicional constitucional de 50% na MOD</t>
        </is>
      </c>
    </row>
    <row r="17">
      <c r="B17" s="4" t="inlineStr">
        <is>
          <t>Custo de Subcontratação / Facção Externa (csub)</t>
        </is>
      </c>
      <c r="C17" s="8" t="n">
        <v>52</v>
      </c>
      <c r="D17" s="4" t="inlineStr">
        <is>
          <t>R$ / conjunto</t>
        </is>
      </c>
      <c r="E17" s="4" t="inlineStr">
        <is>
          <t>Oficina externa de costura parceira</t>
        </is>
      </c>
    </row>
    <row r="18">
      <c r="B18" s="4" t="inlineStr">
        <is>
          <t>Custo de Manutenção / Posse de Estoque (ce)</t>
        </is>
      </c>
      <c r="C18" s="8" t="n">
        <v>3</v>
      </c>
      <c r="D18" s="4" t="inlineStr">
        <is>
          <t>R$ / conjunto / mês</t>
        </is>
      </c>
      <c r="E18" s="4" t="inlineStr">
        <is>
          <t>Armazenagem física e custo de capital (sobre EM)</t>
        </is>
      </c>
    </row>
    <row r="19">
      <c r="B19" s="4" t="inlineStr">
        <is>
          <t>Custo de Ruptura / Atraso na Entrega (ca)</t>
        </is>
      </c>
      <c r="C19" s="8" t="n">
        <v>20</v>
      </c>
      <c r="D19" s="4" t="inlineStr">
        <is>
          <t>R$ / conjunto / mês</t>
        </is>
      </c>
      <c r="E19" s="4" t="inlineStr">
        <is>
          <t>Multa contratual de SLA corporativo</t>
        </is>
      </c>
    </row>
    <row r="20">
      <c r="B20" s="4" t="inlineStr">
        <is>
          <t>Custo de Contratação / Admissão (Cc)</t>
        </is>
      </c>
      <c r="C20" s="8" t="n">
        <v>1600</v>
      </c>
      <c r="D20" s="4" t="inlineStr">
        <is>
          <t>R$ / admissão</t>
        </is>
      </c>
      <c r="E20" s="4" t="inlineStr">
        <is>
          <t>Processo seletivo, ASO admissional e treino</t>
        </is>
      </c>
    </row>
    <row r="21">
      <c r="B21" s="4" t="inlineStr">
        <is>
          <t>Custo de Demissão / Rescisão Trabalhista (Cd)</t>
        </is>
      </c>
      <c r="C21" s="8" t="n">
        <v>3000</v>
      </c>
      <c r="D21" s="4" t="inlineStr">
        <is>
          <t>R$ / demissão</t>
        </is>
      </c>
      <c r="E21" s="4" t="inlineStr">
        <is>
          <t>Aviso prévio, multa 40% FGTS e homologação</t>
        </is>
      </c>
    </row>
    <row r="24">
      <c r="B24" s="9" t="inlineStr">
        <is>
          <t>2. SÉRIE HISTÓRICA E PREVISÃO DA DEMANDA AGREGADA (UNIDADES)</t>
        </is>
      </c>
    </row>
    <row r="25">
      <c r="B25" s="10" t="inlineStr">
        <is>
          <t>Item / Período</t>
        </is>
      </c>
      <c r="C25" s="10" t="inlineStr">
        <is>
          <t>Jan</t>
        </is>
      </c>
      <c r="D25" s="10" t="inlineStr">
        <is>
          <t>Fev</t>
        </is>
      </c>
      <c r="E25" s="10" t="inlineStr">
        <is>
          <t>Mar</t>
        </is>
      </c>
      <c r="F25" s="10" t="inlineStr">
        <is>
          <t>Abr</t>
        </is>
      </c>
      <c r="G25" s="10" t="inlineStr">
        <is>
          <t>Mai</t>
        </is>
      </c>
      <c r="H25" s="10" t="inlineStr">
        <is>
          <t>Jun</t>
        </is>
      </c>
      <c r="I25" s="10" t="inlineStr">
        <is>
          <t>Jul</t>
        </is>
      </c>
      <c r="J25" s="10" t="inlineStr">
        <is>
          <t>Ago</t>
        </is>
      </c>
      <c r="K25" s="10" t="inlineStr">
        <is>
          <t>Set</t>
        </is>
      </c>
      <c r="L25" s="10" t="inlineStr">
        <is>
          <t>Out</t>
        </is>
      </c>
      <c r="M25" s="10" t="inlineStr">
        <is>
          <t>Nov</t>
        </is>
      </c>
      <c r="N25" s="10" t="inlineStr">
        <is>
          <t>Dez</t>
        </is>
      </c>
      <c r="O25" s="10" t="inlineStr">
        <is>
          <t>Total Anual</t>
        </is>
      </c>
    </row>
    <row r="26">
      <c r="B26" s="11" t="inlineStr">
        <is>
          <t>Demanda Prevista (un.)</t>
        </is>
      </c>
      <c r="C26" s="5" t="n">
        <v>4600</v>
      </c>
      <c r="D26" s="5" t="n">
        <v>5200</v>
      </c>
      <c r="E26" s="5" t="n">
        <v>4800</v>
      </c>
      <c r="F26" s="5" t="n">
        <v>3600</v>
      </c>
      <c r="G26" s="5" t="n">
        <v>3200</v>
      </c>
      <c r="H26" s="5" t="n">
        <v>3000</v>
      </c>
      <c r="I26" s="5" t="n">
        <v>3800</v>
      </c>
      <c r="J26" s="5" t="n">
        <v>3600</v>
      </c>
      <c r="K26" s="5" t="n">
        <v>3400</v>
      </c>
      <c r="L26" s="5" t="n">
        <v>3800</v>
      </c>
      <c r="M26" s="5" t="n">
        <v>5000</v>
      </c>
      <c r="N26" s="5" t="n">
        <v>4000</v>
      </c>
      <c r="O26" s="12">
        <f>SUM(C26:N26)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1" workbookViewId="0">
      <selection activeCell="A1" sqref="A1"/>
    </sheetView>
  </sheetViews>
  <sheetFormatPr baseColWidth="8" defaultRowHeight="15" outlineLevelCol="0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Estratégia 1: Taxa Constante (Nivelamento / Level)</t>
        </is>
      </c>
    </row>
    <row r="4">
      <c r="B4" s="2" t="inlineStr">
        <is>
          <t>Planejamento Agregado da Produção: Meses em Colunas, Variáveis e Custos em Linhas</t>
        </is>
      </c>
    </row>
    <row r="6" ht="26" customHeight="1">
      <c r="B6" s="13" t="inlineStr">
        <is>
          <t>Variável / Rubrica de Planejamento da Produção</t>
        </is>
      </c>
      <c r="C6" s="13" t="inlineStr">
        <is>
          <t>Jan</t>
        </is>
      </c>
      <c r="D6" s="13" t="inlineStr">
        <is>
          <t>Fev</t>
        </is>
      </c>
      <c r="E6" s="13" t="inlineStr">
        <is>
          <t>Mar</t>
        </is>
      </c>
      <c r="F6" s="13" t="inlineStr">
        <is>
          <t>Abr</t>
        </is>
      </c>
      <c r="G6" s="13" t="inlineStr">
        <is>
          <t>Mai</t>
        </is>
      </c>
      <c r="H6" s="13" t="inlineStr">
        <is>
          <t>Jun</t>
        </is>
      </c>
      <c r="I6" s="13" t="inlineStr">
        <is>
          <t>Jul</t>
        </is>
      </c>
      <c r="J6" s="13" t="inlineStr">
        <is>
          <t>Ago</t>
        </is>
      </c>
      <c r="K6" s="13" t="inlineStr">
        <is>
          <t>Set</t>
        </is>
      </c>
      <c r="L6" s="13" t="inlineStr">
        <is>
          <t>Out</t>
        </is>
      </c>
      <c r="M6" s="13" t="inlineStr">
        <is>
          <t>Nov</t>
        </is>
      </c>
      <c r="N6" s="13" t="inlineStr">
        <is>
          <t>Dez</t>
        </is>
      </c>
      <c r="O6" s="13" t="inlineStr">
        <is>
          <t>Total Anual</t>
        </is>
      </c>
    </row>
    <row r="7" ht="20" customHeight="1">
      <c r="B7" s="14" t="inlineStr">
        <is>
          <t>1. DEMANDA E VENDAS (UNIDADES)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(=) Demanda Prevista (Dt)</t>
        </is>
      </c>
      <c r="C8" s="17">
        <f>'Premissas e Dados'!C26</f>
        <v/>
      </c>
      <c r="D8" s="17">
        <f>'Premissas e Dados'!D26</f>
        <v/>
      </c>
      <c r="E8" s="17">
        <f>'Premissas e Dados'!E26</f>
        <v/>
      </c>
      <c r="F8" s="17">
        <f>'Premissas e Dados'!F26</f>
        <v/>
      </c>
      <c r="G8" s="17">
        <f>'Premissas e Dados'!G26</f>
        <v/>
      </c>
      <c r="H8" s="17">
        <f>'Premissas e Dados'!H26</f>
        <v/>
      </c>
      <c r="I8" s="17">
        <f>'Premissas e Dados'!I26</f>
        <v/>
      </c>
      <c r="J8" s="17">
        <f>'Premissas e Dados'!J26</f>
        <v/>
      </c>
      <c r="K8" s="17">
        <f>'Premissas e Dados'!K26</f>
        <v/>
      </c>
      <c r="L8" s="17">
        <f>'Premissas e Dados'!L26</f>
        <v/>
      </c>
      <c r="M8" s="17">
        <f>'Premissas e Dados'!M26</f>
        <v/>
      </c>
      <c r="N8" s="17">
        <f>'Premissas e Dados'!N26</f>
        <v/>
      </c>
      <c r="O8" s="18">
        <f>SUM(C8:N8)</f>
        <v/>
      </c>
    </row>
    <row r="9" ht="20" customHeight="1">
      <c r="B9" s="16" t="inlineStr">
        <is>
          <t>(+) Backlog Anterior / Demanda Reprimida</t>
        </is>
      </c>
      <c r="C9" s="17" t="n">
        <v>0</v>
      </c>
      <c r="D9" s="17">
        <f>C16</f>
        <v/>
      </c>
      <c r="E9" s="17">
        <f>D16</f>
        <v/>
      </c>
      <c r="F9" s="17">
        <f>E16</f>
        <v/>
      </c>
      <c r="G9" s="17">
        <f>F16</f>
        <v/>
      </c>
      <c r="H9" s="17">
        <f>G16</f>
        <v/>
      </c>
      <c r="I9" s="17">
        <f>H16</f>
        <v/>
      </c>
      <c r="J9" s="17">
        <f>I16</f>
        <v/>
      </c>
      <c r="K9" s="17">
        <f>J16</f>
        <v/>
      </c>
      <c r="L9" s="17">
        <f>K16</f>
        <v/>
      </c>
      <c r="M9" s="17">
        <f>L16</f>
        <v/>
      </c>
      <c r="N9" s="17">
        <f>M16</f>
        <v/>
      </c>
      <c r="O9" s="18" t="inlineStr">
        <is>
          <t>-</t>
        </is>
      </c>
    </row>
    <row r="10" ht="20" customHeight="1">
      <c r="B10" s="16" t="inlineStr">
        <is>
          <t>(=) Demanda Efetiva do Período</t>
        </is>
      </c>
      <c r="C10" s="17">
        <f>C8+C9</f>
        <v/>
      </c>
      <c r="D10" s="17">
        <f>D8+D9</f>
        <v/>
      </c>
      <c r="E10" s="17">
        <f>E8+E9</f>
        <v/>
      </c>
      <c r="F10" s="17">
        <f>F8+F9</f>
        <v/>
      </c>
      <c r="G10" s="17">
        <f>G8+G9</f>
        <v/>
      </c>
      <c r="H10" s="17">
        <f>H8+H9</f>
        <v/>
      </c>
      <c r="I10" s="17">
        <f>I8+I9</f>
        <v/>
      </c>
      <c r="J10" s="17">
        <f>J8+J9</f>
        <v/>
      </c>
      <c r="K10" s="17">
        <f>K8+K9</f>
        <v/>
      </c>
      <c r="L10" s="17">
        <f>L8+L9</f>
        <v/>
      </c>
      <c r="M10" s="17">
        <f>M8+M9</f>
        <v/>
      </c>
      <c r="N10" s="17">
        <f>N8+N9</f>
        <v/>
      </c>
      <c r="O10" s="18" t="inlineStr">
        <is>
          <t>-</t>
        </is>
      </c>
    </row>
    <row r="11" ht="20" customHeight="1">
      <c r="B11" s="14" t="inlineStr">
        <is>
          <t>2. PLANO DE PRODUÇÃO E BALANÇO DE ESTOQUES (UNIDADES)</t>
        </is>
      </c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</row>
    <row r="12" ht="20" customHeight="1">
      <c r="B12" s="16" t="inlineStr">
        <is>
          <t>(+) Estoque Inicial (EIt)</t>
        </is>
      </c>
      <c r="C12" s="17" t="n">
        <v>400</v>
      </c>
      <c r="D12" s="17">
        <f>C15</f>
        <v/>
      </c>
      <c r="E12" s="17">
        <f>D15</f>
        <v/>
      </c>
      <c r="F12" s="17">
        <f>E15</f>
        <v/>
      </c>
      <c r="G12" s="17">
        <f>F15</f>
        <v/>
      </c>
      <c r="H12" s="17">
        <f>G15</f>
        <v/>
      </c>
      <c r="I12" s="17">
        <f>H15</f>
        <v/>
      </c>
      <c r="J12" s="17">
        <f>I15</f>
        <v/>
      </c>
      <c r="K12" s="17">
        <f>J15</f>
        <v/>
      </c>
      <c r="L12" s="17">
        <f>K15</f>
        <v/>
      </c>
      <c r="M12" s="17">
        <f>L15</f>
        <v/>
      </c>
      <c r="N12" s="17">
        <f>M15</f>
        <v/>
      </c>
      <c r="O12" s="18" t="inlineStr">
        <is>
          <t>-</t>
        </is>
      </c>
    </row>
    <row r="13" ht="20" customHeight="1">
      <c r="B13" s="16" t="inlineStr">
        <is>
          <t>(+) Produção Normal Constante (20 costureiras)</t>
        </is>
      </c>
      <c r="C13" s="17" t="n">
        <v>4000</v>
      </c>
      <c r="D13" s="17" t="n">
        <v>4000</v>
      </c>
      <c r="E13" s="17" t="n">
        <v>4000</v>
      </c>
      <c r="F13" s="17" t="n">
        <v>4000</v>
      </c>
      <c r="G13" s="17" t="n">
        <v>4000</v>
      </c>
      <c r="H13" s="17" t="n">
        <v>4000</v>
      </c>
      <c r="I13" s="17" t="n">
        <v>4000</v>
      </c>
      <c r="J13" s="17" t="n">
        <v>4000</v>
      </c>
      <c r="K13" s="17" t="n">
        <v>4000</v>
      </c>
      <c r="L13" s="17" t="n">
        <v>4000</v>
      </c>
      <c r="M13" s="17" t="n">
        <v>4000</v>
      </c>
      <c r="N13" s="17" t="n">
        <v>4000</v>
      </c>
      <c r="O13" s="18">
        <f>SUM(C13:N13)</f>
        <v/>
      </c>
    </row>
    <row r="14" ht="20" customHeight="1">
      <c r="B14" s="16" t="inlineStr">
        <is>
          <t>(=) Disponibilidade Total (EIt + Pt)</t>
        </is>
      </c>
      <c r="C14" s="17">
        <f>C12+C13</f>
        <v/>
      </c>
      <c r="D14" s="17">
        <f>D12+D13</f>
        <v/>
      </c>
      <c r="E14" s="17">
        <f>E12+E13</f>
        <v/>
      </c>
      <c r="F14" s="17">
        <f>F12+F13</f>
        <v/>
      </c>
      <c r="G14" s="17">
        <f>G12+G13</f>
        <v/>
      </c>
      <c r="H14" s="17">
        <f>H12+H13</f>
        <v/>
      </c>
      <c r="I14" s="17">
        <f>I12+I13</f>
        <v/>
      </c>
      <c r="J14" s="17">
        <f>J12+J13</f>
        <v/>
      </c>
      <c r="K14" s="17">
        <f>K12+K13</f>
        <v/>
      </c>
      <c r="L14" s="17">
        <f>L12+L13</f>
        <v/>
      </c>
      <c r="M14" s="17">
        <f>M12+M13</f>
        <v/>
      </c>
      <c r="N14" s="17">
        <f>N12+N13</f>
        <v/>
      </c>
      <c r="O14" s="18" t="inlineStr">
        <is>
          <t>-</t>
        </is>
      </c>
    </row>
    <row r="15" ht="20" customHeight="1">
      <c r="B15" s="16" t="inlineStr">
        <is>
          <t>(=) Estoque Final (EFt)</t>
        </is>
      </c>
      <c r="C15" s="17">
        <f>IF(C14&gt;=C10, C14-C10, 0)</f>
        <v/>
      </c>
      <c r="D15" s="17">
        <f>IF(D14&gt;=D10, D14-D10, 0)</f>
        <v/>
      </c>
      <c r="E15" s="17">
        <f>IF(E14&gt;=E10, E14-E10, 0)</f>
        <v/>
      </c>
      <c r="F15" s="17">
        <f>IF(F14&gt;=F10, F14-F10, 0)</f>
        <v/>
      </c>
      <c r="G15" s="17">
        <f>IF(G14&gt;=G10, G14-G10, 0)</f>
        <v/>
      </c>
      <c r="H15" s="17">
        <f>IF(H14&gt;=H10, H14-H10, 0)</f>
        <v/>
      </c>
      <c r="I15" s="17">
        <f>IF(I14&gt;=I10, I14-I10, 0)</f>
        <v/>
      </c>
      <c r="J15" s="17">
        <f>IF(J14&gt;=J10, J14-J10, 0)</f>
        <v/>
      </c>
      <c r="K15" s="17">
        <f>IF(K14&gt;=K10, K14-K10, 0)</f>
        <v/>
      </c>
      <c r="L15" s="17">
        <f>IF(L14&gt;=L10, L14-L10, 0)</f>
        <v/>
      </c>
      <c r="M15" s="17">
        <f>IF(M14&gt;=M10, M14-M10, 0)</f>
        <v/>
      </c>
      <c r="N15" s="17">
        <f>IF(N14&gt;=N10, N14-N10, 0)</f>
        <v/>
      </c>
      <c r="O15" s="18">
        <f>N15</f>
        <v/>
      </c>
    </row>
    <row r="16" ht="20" customHeight="1">
      <c r="B16" s="16" t="inlineStr">
        <is>
          <t>(-) Backlog Final / Atrasos Acumulados</t>
        </is>
      </c>
      <c r="C16" s="17">
        <f>IF(C14&lt;C10, C10-C14, 0)</f>
        <v/>
      </c>
      <c r="D16" s="17">
        <f>IF(D14&lt;D10, D10-D14, 0)</f>
        <v/>
      </c>
      <c r="E16" s="17">
        <f>IF(E14&lt;E10, E10-E14, 0)</f>
        <v/>
      </c>
      <c r="F16" s="17">
        <f>IF(F14&lt;F10, F10-F14, 0)</f>
        <v/>
      </c>
      <c r="G16" s="17">
        <f>IF(G14&lt;G10, G10-G14, 0)</f>
        <v/>
      </c>
      <c r="H16" s="17">
        <f>IF(H14&lt;H10, H10-H14, 0)</f>
        <v/>
      </c>
      <c r="I16" s="17">
        <f>IF(I14&lt;I10, I10-I14, 0)</f>
        <v/>
      </c>
      <c r="J16" s="17">
        <f>IF(J14&lt;J10, J10-J14, 0)</f>
        <v/>
      </c>
      <c r="K16" s="17">
        <f>IF(K14&lt;K10, K10-K14, 0)</f>
        <v/>
      </c>
      <c r="L16" s="17">
        <f>IF(L14&lt;L10, L10-L14, 0)</f>
        <v/>
      </c>
      <c r="M16" s="17">
        <f>IF(M14&lt;M10, M10-M14, 0)</f>
        <v/>
      </c>
      <c r="N16" s="17">
        <f>IF(N14&lt;N10, N10-N14, 0)</f>
        <v/>
      </c>
      <c r="O16" s="18">
        <f>SUM(C16:N16)</f>
        <v/>
      </c>
    </row>
    <row r="17" ht="20" customHeight="1">
      <c r="B17" s="16" t="inlineStr">
        <is>
          <t>(=) Estoque Médio Mensal (EMt)</t>
        </is>
      </c>
      <c r="C17" s="17">
        <f>(C12+C15)/2</f>
        <v/>
      </c>
      <c r="D17" s="17">
        <f>(D12+D15)/2</f>
        <v/>
      </c>
      <c r="E17" s="17">
        <f>(E12+E15)/2</f>
        <v/>
      </c>
      <c r="F17" s="17">
        <f>(F12+F15)/2</f>
        <v/>
      </c>
      <c r="G17" s="17">
        <f>(G12+G15)/2</f>
        <v/>
      </c>
      <c r="H17" s="17">
        <f>(H12+H15)/2</f>
        <v/>
      </c>
      <c r="I17" s="17">
        <f>(I12+I15)/2</f>
        <v/>
      </c>
      <c r="J17" s="17">
        <f>(J12+J15)/2</f>
        <v/>
      </c>
      <c r="K17" s="17">
        <f>(K12+K15)/2</f>
        <v/>
      </c>
      <c r="L17" s="17">
        <f>(L12+L15)/2</f>
        <v/>
      </c>
      <c r="M17" s="17">
        <f>(M12+M15)/2</f>
        <v/>
      </c>
      <c r="N17" s="17">
        <f>(N12+N15)/2</f>
        <v/>
      </c>
      <c r="O17" s="18">
        <f>AVERAGE(C17:N17)</f>
        <v/>
      </c>
    </row>
    <row r="18" ht="20" customHeight="1">
      <c r="B18" s="14" t="inlineStr">
        <is>
          <t>3. PLANO FINANCEIRO / CUSTOS OPERACIONAIS DO PAP (R$)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</row>
    <row r="19" ht="20" customHeight="1">
      <c r="B19" s="16" t="inlineStr">
        <is>
          <t>(+) Custos de Produção em Turno Normal (cn = R$ 38,00)</t>
        </is>
      </c>
      <c r="C19" s="19">
        <f>C13*'Premissas e Dados'!$C$15</f>
        <v/>
      </c>
      <c r="D19" s="19">
        <f>D13*'Premissas e Dados'!$C$15</f>
        <v/>
      </c>
      <c r="E19" s="19">
        <f>E13*'Premissas e Dados'!$C$15</f>
        <v/>
      </c>
      <c r="F19" s="19">
        <f>F13*'Premissas e Dados'!$C$15</f>
        <v/>
      </c>
      <c r="G19" s="19">
        <f>G13*'Premissas e Dados'!$C$15</f>
        <v/>
      </c>
      <c r="H19" s="19">
        <f>H13*'Premissas e Dados'!$C$15</f>
        <v/>
      </c>
      <c r="I19" s="19">
        <f>I13*'Premissas e Dados'!$C$15</f>
        <v/>
      </c>
      <c r="J19" s="19">
        <f>J13*'Premissas e Dados'!$C$15</f>
        <v/>
      </c>
      <c r="K19" s="19">
        <f>K13*'Premissas e Dados'!$C$15</f>
        <v/>
      </c>
      <c r="L19" s="19">
        <f>L13*'Premissas e Dados'!$C$15</f>
        <v/>
      </c>
      <c r="M19" s="19">
        <f>M13*'Premissas e Dados'!$C$15</f>
        <v/>
      </c>
      <c r="N19" s="19">
        <f>N13*'Premissas e Dados'!$C$15</f>
        <v/>
      </c>
      <c r="O19" s="20">
        <f>SUM(C19:N19)</f>
        <v/>
      </c>
    </row>
    <row r="20" ht="20" customHeight="1">
      <c r="B20" s="16" t="inlineStr">
        <is>
          <t>(+) Custos de Manutenção / Posse de Estoque (ce = R$ 3,00)</t>
        </is>
      </c>
      <c r="C20" s="19">
        <f>C17*'Premissas e Dados'!$C$18</f>
        <v/>
      </c>
      <c r="D20" s="19">
        <f>D17*'Premissas e Dados'!$C$18</f>
        <v/>
      </c>
      <c r="E20" s="19">
        <f>E17*'Premissas e Dados'!$C$18</f>
        <v/>
      </c>
      <c r="F20" s="19">
        <f>F17*'Premissas e Dados'!$C$18</f>
        <v/>
      </c>
      <c r="G20" s="19">
        <f>G17*'Premissas e Dados'!$C$18</f>
        <v/>
      </c>
      <c r="H20" s="19">
        <f>H17*'Premissas e Dados'!$C$18</f>
        <v/>
      </c>
      <c r="I20" s="19">
        <f>I17*'Premissas e Dados'!$C$18</f>
        <v/>
      </c>
      <c r="J20" s="19">
        <f>J17*'Premissas e Dados'!$C$18</f>
        <v/>
      </c>
      <c r="K20" s="19">
        <f>K17*'Premissas e Dados'!$C$18</f>
        <v/>
      </c>
      <c r="L20" s="19">
        <f>L17*'Premissas e Dados'!$C$18</f>
        <v/>
      </c>
      <c r="M20" s="19">
        <f>M17*'Premissas e Dados'!$C$18</f>
        <v/>
      </c>
      <c r="N20" s="19">
        <f>N17*'Premissas e Dados'!$C$18</f>
        <v/>
      </c>
      <c r="O20" s="20">
        <f>SUM(C20:N20)</f>
        <v/>
      </c>
    </row>
    <row r="21" ht="20" customHeight="1">
      <c r="B21" s="16" t="inlineStr">
        <is>
          <t>(+) Custos de Penalidade por Atraso / Backlog (ca = R$ 20,00)</t>
        </is>
      </c>
      <c r="C21" s="19">
        <f>C16*'Premissas e Dados'!$C$19</f>
        <v/>
      </c>
      <c r="D21" s="19">
        <f>D16*'Premissas e Dados'!$C$19</f>
        <v/>
      </c>
      <c r="E21" s="19">
        <f>E16*'Premissas e Dados'!$C$19</f>
        <v/>
      </c>
      <c r="F21" s="19">
        <f>F16*'Premissas e Dados'!$C$19</f>
        <v/>
      </c>
      <c r="G21" s="19">
        <f>G16*'Premissas e Dados'!$C$19</f>
        <v/>
      </c>
      <c r="H21" s="19">
        <f>H16*'Premissas e Dados'!$C$19</f>
        <v/>
      </c>
      <c r="I21" s="19">
        <f>I16*'Premissas e Dados'!$C$19</f>
        <v/>
      </c>
      <c r="J21" s="19">
        <f>J16*'Premissas e Dados'!$C$19</f>
        <v/>
      </c>
      <c r="K21" s="19">
        <f>K16*'Premissas e Dados'!$C$19</f>
        <v/>
      </c>
      <c r="L21" s="19">
        <f>L16*'Premissas e Dados'!$C$19</f>
        <v/>
      </c>
      <c r="M21" s="19">
        <f>M16*'Premissas e Dados'!$C$19</f>
        <v/>
      </c>
      <c r="N21" s="19">
        <f>N16*'Premissas e Dados'!$C$19</f>
        <v/>
      </c>
      <c r="O21" s="20">
        <f>SUM(C21:N21)</f>
        <v/>
      </c>
    </row>
    <row r="22" ht="20" customHeight="1">
      <c r="B22" s="21" t="inlineStr">
        <is>
          <t>(=) CUSTO TOTAL OPERACIONAL DO PAP (R$)</t>
        </is>
      </c>
      <c r="C22" s="22">
        <f>SUM(C19:C21)</f>
        <v/>
      </c>
      <c r="D22" s="22">
        <f>SUM(D19:D21)</f>
        <v/>
      </c>
      <c r="E22" s="22">
        <f>SUM(E19:E21)</f>
        <v/>
      </c>
      <c r="F22" s="22">
        <f>SUM(F19:F21)</f>
        <v/>
      </c>
      <c r="G22" s="22">
        <f>SUM(G19:G21)</f>
        <v/>
      </c>
      <c r="H22" s="22">
        <f>SUM(H19:H21)</f>
        <v/>
      </c>
      <c r="I22" s="22">
        <f>SUM(I19:I21)</f>
        <v/>
      </c>
      <c r="J22" s="22">
        <f>SUM(J19:J21)</f>
        <v/>
      </c>
      <c r="K22" s="22">
        <f>SUM(K19:K21)</f>
        <v/>
      </c>
      <c r="L22" s="22">
        <f>SUM(L19:L21)</f>
        <v/>
      </c>
      <c r="M22" s="22">
        <f>SUM(M19:M21)</f>
        <v/>
      </c>
      <c r="N22" s="22">
        <f>SUM(N19:N21)</f>
        <v/>
      </c>
      <c r="O22" s="22">
        <f>SUM(C22:N22)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1" workbookViewId="0">
      <selection activeCell="A1" sqref="A1"/>
    </sheetView>
  </sheetViews>
  <sheetFormatPr baseColWidth="8" defaultRowHeight="15" outlineLevelCol="0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Estratégia 2: Acompanhamento da Demanda (Chase)</t>
        </is>
      </c>
    </row>
    <row r="4">
      <c r="B4" s="2" t="inlineStr">
        <is>
          <t>Planejamento Agregado da Produção: Meses em Colunas, Variáveis e Custos em Linhas</t>
        </is>
      </c>
    </row>
    <row r="6" ht="26" customHeight="1">
      <c r="B6" s="13" t="inlineStr">
        <is>
          <t>Variável / Rubrica de Planejamento da Produção</t>
        </is>
      </c>
      <c r="C6" s="13" t="inlineStr">
        <is>
          <t>Jan</t>
        </is>
      </c>
      <c r="D6" s="13" t="inlineStr">
        <is>
          <t>Fev</t>
        </is>
      </c>
      <c r="E6" s="13" t="inlineStr">
        <is>
          <t>Mar</t>
        </is>
      </c>
      <c r="F6" s="13" t="inlineStr">
        <is>
          <t>Abr</t>
        </is>
      </c>
      <c r="G6" s="13" t="inlineStr">
        <is>
          <t>Mai</t>
        </is>
      </c>
      <c r="H6" s="13" t="inlineStr">
        <is>
          <t>Jun</t>
        </is>
      </c>
      <c r="I6" s="13" t="inlineStr">
        <is>
          <t>Jul</t>
        </is>
      </c>
      <c r="J6" s="13" t="inlineStr">
        <is>
          <t>Ago</t>
        </is>
      </c>
      <c r="K6" s="13" t="inlineStr">
        <is>
          <t>Set</t>
        </is>
      </c>
      <c r="L6" s="13" t="inlineStr">
        <is>
          <t>Out</t>
        </is>
      </c>
      <c r="M6" s="13" t="inlineStr">
        <is>
          <t>Nov</t>
        </is>
      </c>
      <c r="N6" s="13" t="inlineStr">
        <is>
          <t>Dez</t>
        </is>
      </c>
      <c r="O6" s="13" t="inlineStr">
        <is>
          <t>Total Anual</t>
        </is>
      </c>
    </row>
    <row r="7" ht="20" customHeight="1">
      <c r="B7" s="14" t="inlineStr">
        <is>
          <t>1. DEMANDA E VENDAS (UNIDADES)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(=) Demanda Prevista (Dt)</t>
        </is>
      </c>
      <c r="C8" s="17">
        <f>'Premissas e Dados'!C26</f>
        <v/>
      </c>
      <c r="D8" s="17">
        <f>'Premissas e Dados'!D26</f>
        <v/>
      </c>
      <c r="E8" s="17">
        <f>'Premissas e Dados'!E26</f>
        <v/>
      </c>
      <c r="F8" s="17">
        <f>'Premissas e Dados'!F26</f>
        <v/>
      </c>
      <c r="G8" s="17">
        <f>'Premissas e Dados'!G26</f>
        <v/>
      </c>
      <c r="H8" s="17">
        <f>'Premissas e Dados'!H26</f>
        <v/>
      </c>
      <c r="I8" s="17">
        <f>'Premissas e Dados'!I26</f>
        <v/>
      </c>
      <c r="J8" s="17">
        <f>'Premissas e Dados'!J26</f>
        <v/>
      </c>
      <c r="K8" s="17">
        <f>'Premissas e Dados'!K26</f>
        <v/>
      </c>
      <c r="L8" s="17">
        <f>'Premissas e Dados'!L26</f>
        <v/>
      </c>
      <c r="M8" s="17">
        <f>'Premissas e Dados'!M26</f>
        <v/>
      </c>
      <c r="N8" s="17">
        <f>'Premissas e Dados'!N26</f>
        <v/>
      </c>
      <c r="O8" s="18">
        <f>SUM(C8:N8)</f>
        <v/>
      </c>
    </row>
    <row r="9" ht="20" customHeight="1">
      <c r="B9" s="14" t="inlineStr">
        <is>
          <t>2. DIMENSIONAMENTO DA FORÇA DE TRABALHO E ROTATIVIDADE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 ht="20" customHeight="1">
      <c r="B10" s="16" t="inlineStr">
        <is>
          <t>(=) Operadoras Necessárias no Mês (Nt = Dt ÷ 200)</t>
        </is>
      </c>
      <c r="C10" s="17">
        <f>INT(C8/'Premissas e Dados'!$C$10)</f>
        <v/>
      </c>
      <c r="D10" s="17">
        <f>INT(D8/'Premissas e Dados'!$C$10)</f>
        <v/>
      </c>
      <c r="E10" s="17">
        <f>INT(E8/'Premissas e Dados'!$C$10)</f>
        <v/>
      </c>
      <c r="F10" s="17">
        <f>INT(F8/'Premissas e Dados'!$C$10)</f>
        <v/>
      </c>
      <c r="G10" s="17">
        <f>INT(G8/'Premissas e Dados'!$C$10)</f>
        <v/>
      </c>
      <c r="H10" s="17">
        <f>INT(H8/'Premissas e Dados'!$C$10)</f>
        <v/>
      </c>
      <c r="I10" s="17">
        <f>INT(I8/'Premissas e Dados'!$C$10)</f>
        <v/>
      </c>
      <c r="J10" s="17">
        <f>INT(J8/'Premissas e Dados'!$C$10)</f>
        <v/>
      </c>
      <c r="K10" s="17">
        <f>INT(K8/'Premissas e Dados'!$C$10)</f>
        <v/>
      </c>
      <c r="L10" s="17">
        <f>INT(L8/'Premissas e Dados'!$C$10)</f>
        <v/>
      </c>
      <c r="M10" s="17">
        <f>INT(M8/'Premissas e Dados'!$C$10)</f>
        <v/>
      </c>
      <c r="N10" s="17">
        <f>INT(N8/'Premissas e Dados'!$C$10)</f>
        <v/>
      </c>
      <c r="O10" s="18">
        <f>AVERAGE(C10:N10)</f>
        <v/>
      </c>
    </row>
    <row r="11" ht="20" customHeight="1">
      <c r="B11" s="16" t="inlineStr">
        <is>
          <t>(-) Operadoras do Mês Anterior (Nt-1)</t>
        </is>
      </c>
      <c r="C11" s="17">
        <f>'Premissas e Dados'!$C$7</f>
        <v/>
      </c>
      <c r="D11" s="17">
        <f>C10</f>
        <v/>
      </c>
      <c r="E11" s="17">
        <f>D10</f>
        <v/>
      </c>
      <c r="F11" s="17">
        <f>E10</f>
        <v/>
      </c>
      <c r="G11" s="17">
        <f>F10</f>
        <v/>
      </c>
      <c r="H11" s="17">
        <f>G10</f>
        <v/>
      </c>
      <c r="I11" s="17">
        <f>H10</f>
        <v/>
      </c>
      <c r="J11" s="17">
        <f>I10</f>
        <v/>
      </c>
      <c r="K11" s="17">
        <f>J10</f>
        <v/>
      </c>
      <c r="L11" s="17">
        <f>K10</f>
        <v/>
      </c>
      <c r="M11" s="17">
        <f>L10</f>
        <v/>
      </c>
      <c r="N11" s="17">
        <f>M10</f>
        <v/>
      </c>
      <c r="O11" s="18" t="inlineStr">
        <is>
          <t>-</t>
        </is>
      </c>
    </row>
    <row r="12" ht="20" customHeight="1">
      <c r="B12" s="16" t="inlineStr">
        <is>
          <t>(+) Contratações / Admissões Realizadas (Ct)</t>
        </is>
      </c>
      <c r="C12" s="17">
        <f>MAX(0, C10-C11)</f>
        <v/>
      </c>
      <c r="D12" s="17">
        <f>MAX(0, D10-D11)</f>
        <v/>
      </c>
      <c r="E12" s="17">
        <f>MAX(0, E10-E11)</f>
        <v/>
      </c>
      <c r="F12" s="17">
        <f>MAX(0, F10-F11)</f>
        <v/>
      </c>
      <c r="G12" s="17">
        <f>MAX(0, G10-G11)</f>
        <v/>
      </c>
      <c r="H12" s="17">
        <f>MAX(0, H10-H11)</f>
        <v/>
      </c>
      <c r="I12" s="17">
        <f>MAX(0, I10-I11)</f>
        <v/>
      </c>
      <c r="J12" s="17">
        <f>MAX(0, J10-J11)</f>
        <v/>
      </c>
      <c r="K12" s="17">
        <f>MAX(0, K10-K11)</f>
        <v/>
      </c>
      <c r="L12" s="17">
        <f>MAX(0, L10-L11)</f>
        <v/>
      </c>
      <c r="M12" s="17">
        <f>MAX(0, M10-M11)</f>
        <v/>
      </c>
      <c r="N12" s="17">
        <f>MAX(0, N10-N11)</f>
        <v/>
      </c>
      <c r="O12" s="18">
        <f>SUM(C12:N12)</f>
        <v/>
      </c>
    </row>
    <row r="13" ht="20" customHeight="1">
      <c r="B13" s="16" t="inlineStr">
        <is>
          <t>(-) Demissões / Desligamentos Realizados (Dt)</t>
        </is>
      </c>
      <c r="C13" s="17">
        <f>MAX(0, C11-C10)</f>
        <v/>
      </c>
      <c r="D13" s="17">
        <f>MAX(0, D11-D10)</f>
        <v/>
      </c>
      <c r="E13" s="17">
        <f>MAX(0, E11-E10)</f>
        <v/>
      </c>
      <c r="F13" s="17">
        <f>MAX(0, F11-F10)</f>
        <v/>
      </c>
      <c r="G13" s="17">
        <f>MAX(0, G11-G10)</f>
        <v/>
      </c>
      <c r="H13" s="17">
        <f>MAX(0, H11-H10)</f>
        <v/>
      </c>
      <c r="I13" s="17">
        <f>MAX(0, I11-I10)</f>
        <v/>
      </c>
      <c r="J13" s="17">
        <f>MAX(0, J11-J10)</f>
        <v/>
      </c>
      <c r="K13" s="17">
        <f>MAX(0, K11-K10)</f>
        <v/>
      </c>
      <c r="L13" s="17">
        <f>MAX(0, L11-L10)</f>
        <v/>
      </c>
      <c r="M13" s="17">
        <f>MAX(0, M11-M10)</f>
        <v/>
      </c>
      <c r="N13" s="17">
        <f>MAX(0, N11-N10)</f>
        <v/>
      </c>
      <c r="O13" s="18">
        <f>SUM(C13:N13)</f>
        <v/>
      </c>
    </row>
    <row r="14" ht="20" customHeight="1">
      <c r="B14" s="14" t="inlineStr">
        <is>
          <t>3. PLANO DE PRODUÇÃO E ESTOQUES (UNIDADES)</t>
        </is>
      </c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</row>
    <row r="15" ht="20" customHeight="1">
      <c r="B15" s="16" t="inlineStr">
        <is>
          <t>(=) Produção Real em Turno Normal (Pt = Nt × 200)</t>
        </is>
      </c>
      <c r="C15" s="17">
        <f>C10*'Premissas e Dados'!$C$10</f>
        <v/>
      </c>
      <c r="D15" s="17">
        <f>D10*'Premissas e Dados'!$C$10</f>
        <v/>
      </c>
      <c r="E15" s="17">
        <f>E10*'Premissas e Dados'!$C$10</f>
        <v/>
      </c>
      <c r="F15" s="17">
        <f>F10*'Premissas e Dados'!$C$10</f>
        <v/>
      </c>
      <c r="G15" s="17">
        <f>G10*'Premissas e Dados'!$C$10</f>
        <v/>
      </c>
      <c r="H15" s="17">
        <f>H10*'Premissas e Dados'!$C$10</f>
        <v/>
      </c>
      <c r="I15" s="17">
        <f>I10*'Premissas e Dados'!$C$10</f>
        <v/>
      </c>
      <c r="J15" s="17">
        <f>J10*'Premissas e Dados'!$C$10</f>
        <v/>
      </c>
      <c r="K15" s="17">
        <f>K10*'Premissas e Dados'!$C$10</f>
        <v/>
      </c>
      <c r="L15" s="17">
        <f>L10*'Premissas e Dados'!$C$10</f>
        <v/>
      </c>
      <c r="M15" s="17">
        <f>M10*'Premissas e Dados'!$C$10</f>
        <v/>
      </c>
      <c r="N15" s="17">
        <f>N10*'Premissas e Dados'!$C$10</f>
        <v/>
      </c>
      <c r="O15" s="18">
        <f>SUM(C15:N15)</f>
        <v/>
      </c>
    </row>
    <row r="16" ht="20" customHeight="1">
      <c r="B16" s="16" t="inlineStr">
        <is>
          <t>(=) Estoque Médio de Segurança (Fixo)</t>
        </is>
      </c>
      <c r="C16" s="17" t="n">
        <v>400</v>
      </c>
      <c r="D16" s="17" t="n">
        <v>400</v>
      </c>
      <c r="E16" s="17" t="n">
        <v>400</v>
      </c>
      <c r="F16" s="17" t="n">
        <v>400</v>
      </c>
      <c r="G16" s="17" t="n">
        <v>400</v>
      </c>
      <c r="H16" s="17" t="n">
        <v>400</v>
      </c>
      <c r="I16" s="17" t="n">
        <v>400</v>
      </c>
      <c r="J16" s="17" t="n">
        <v>400</v>
      </c>
      <c r="K16" s="17" t="n">
        <v>400</v>
      </c>
      <c r="L16" s="17" t="n">
        <v>400</v>
      </c>
      <c r="M16" s="17" t="n">
        <v>400</v>
      </c>
      <c r="N16" s="17" t="n">
        <v>400</v>
      </c>
      <c r="O16" s="18" t="n">
        <v>400</v>
      </c>
    </row>
    <row r="17" ht="20" customHeight="1">
      <c r="B17" s="14" t="inlineStr">
        <is>
          <t>4. PLANO FINANCEIRO / CUSTOS OPERACIONAIS DO PAP (R$)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 ht="20" customHeight="1">
      <c r="B18" s="16" t="inlineStr">
        <is>
          <t>(+) Custos de Produção em Turno Normal (cn = R$ 38,00)</t>
        </is>
      </c>
      <c r="C18" s="19">
        <f>C15*'Premissas e Dados'!$C$15</f>
        <v/>
      </c>
      <c r="D18" s="19">
        <f>D15*'Premissas e Dados'!$C$15</f>
        <v/>
      </c>
      <c r="E18" s="19">
        <f>E15*'Premissas e Dados'!$C$15</f>
        <v/>
      </c>
      <c r="F18" s="19">
        <f>F15*'Premissas e Dados'!$C$15</f>
        <v/>
      </c>
      <c r="G18" s="19">
        <f>G15*'Premissas e Dados'!$C$15</f>
        <v/>
      </c>
      <c r="H18" s="19">
        <f>H15*'Premissas e Dados'!$C$15</f>
        <v/>
      </c>
      <c r="I18" s="19">
        <f>I15*'Premissas e Dados'!$C$15</f>
        <v/>
      </c>
      <c r="J18" s="19">
        <f>J15*'Premissas e Dados'!$C$15</f>
        <v/>
      </c>
      <c r="K18" s="19">
        <f>K15*'Premissas e Dados'!$C$15</f>
        <v/>
      </c>
      <c r="L18" s="19">
        <f>L15*'Premissas e Dados'!$C$15</f>
        <v/>
      </c>
      <c r="M18" s="19">
        <f>M15*'Premissas e Dados'!$C$15</f>
        <v/>
      </c>
      <c r="N18" s="19">
        <f>N15*'Premissas e Dados'!$C$15</f>
        <v/>
      </c>
      <c r="O18" s="20">
        <f>SUM(C18:N18)</f>
        <v/>
      </c>
    </row>
    <row r="19" ht="20" customHeight="1">
      <c r="B19" s="16" t="inlineStr">
        <is>
          <t>(+) Custos de Admissão de Operadoras (Cc = R$ 1.600,00)</t>
        </is>
      </c>
      <c r="C19" s="19">
        <f>C12*'Premissas e Dados'!$C$20</f>
        <v/>
      </c>
      <c r="D19" s="19">
        <f>D12*'Premissas e Dados'!$C$20</f>
        <v/>
      </c>
      <c r="E19" s="19">
        <f>E12*'Premissas e Dados'!$C$20</f>
        <v/>
      </c>
      <c r="F19" s="19">
        <f>F12*'Premissas e Dados'!$C$20</f>
        <v/>
      </c>
      <c r="G19" s="19">
        <f>G12*'Premissas e Dados'!$C$20</f>
        <v/>
      </c>
      <c r="H19" s="19">
        <f>H12*'Premissas e Dados'!$C$20</f>
        <v/>
      </c>
      <c r="I19" s="19">
        <f>I12*'Premissas e Dados'!$C$20</f>
        <v/>
      </c>
      <c r="J19" s="19">
        <f>J12*'Premissas e Dados'!$C$20</f>
        <v/>
      </c>
      <c r="K19" s="19">
        <f>K12*'Premissas e Dados'!$C$20</f>
        <v/>
      </c>
      <c r="L19" s="19">
        <f>L12*'Premissas e Dados'!$C$20</f>
        <v/>
      </c>
      <c r="M19" s="19">
        <f>M12*'Premissas e Dados'!$C$20</f>
        <v/>
      </c>
      <c r="N19" s="19">
        <f>N12*'Premissas e Dados'!$C$20</f>
        <v/>
      </c>
      <c r="O19" s="20">
        <f>SUM(C19:N19)</f>
        <v/>
      </c>
    </row>
    <row r="20" ht="20" customHeight="1">
      <c r="B20" s="16" t="inlineStr">
        <is>
          <t>(+) Custos de Demissão e Rescisão (Cd = R$ 3.000,00)</t>
        </is>
      </c>
      <c r="C20" s="19">
        <f>C13*'Premissas e Dados'!$C$21</f>
        <v/>
      </c>
      <c r="D20" s="19">
        <f>D13*'Premissas e Dados'!$C$21</f>
        <v/>
      </c>
      <c r="E20" s="19">
        <f>E13*'Premissas e Dados'!$C$21</f>
        <v/>
      </c>
      <c r="F20" s="19">
        <f>F13*'Premissas e Dados'!$C$21</f>
        <v/>
      </c>
      <c r="G20" s="19">
        <f>G13*'Premissas e Dados'!$C$21</f>
        <v/>
      </c>
      <c r="H20" s="19">
        <f>H13*'Premissas e Dados'!$C$21</f>
        <v/>
      </c>
      <c r="I20" s="19">
        <f>I13*'Premissas e Dados'!$C$21</f>
        <v/>
      </c>
      <c r="J20" s="19">
        <f>J13*'Premissas e Dados'!$C$21</f>
        <v/>
      </c>
      <c r="K20" s="19">
        <f>K13*'Premissas e Dados'!$C$21</f>
        <v/>
      </c>
      <c r="L20" s="19">
        <f>L13*'Premissas e Dados'!$C$21</f>
        <v/>
      </c>
      <c r="M20" s="19">
        <f>M13*'Premissas e Dados'!$C$21</f>
        <v/>
      </c>
      <c r="N20" s="19">
        <f>N13*'Premissas e Dados'!$C$21</f>
        <v/>
      </c>
      <c r="O20" s="20">
        <f>SUM(C20:N20)</f>
        <v/>
      </c>
    </row>
    <row r="21" ht="20" customHeight="1">
      <c r="B21" s="16" t="inlineStr">
        <is>
          <t>(+) Custos de Manutenção de Estoque de Segurança (ce = R$ 3,00)</t>
        </is>
      </c>
      <c r="C21" s="19">
        <f>C16*'Premissas e Dados'!$C$18</f>
        <v/>
      </c>
      <c r="D21" s="19">
        <f>D16*'Premissas e Dados'!$C$18</f>
        <v/>
      </c>
      <c r="E21" s="19">
        <f>E16*'Premissas e Dados'!$C$18</f>
        <v/>
      </c>
      <c r="F21" s="19">
        <f>F16*'Premissas e Dados'!$C$18</f>
        <v/>
      </c>
      <c r="G21" s="19">
        <f>G16*'Premissas e Dados'!$C$18</f>
        <v/>
      </c>
      <c r="H21" s="19">
        <f>H16*'Premissas e Dados'!$C$18</f>
        <v/>
      </c>
      <c r="I21" s="19">
        <f>I16*'Premissas e Dados'!$C$18</f>
        <v/>
      </c>
      <c r="J21" s="19">
        <f>J16*'Premissas e Dados'!$C$18</f>
        <v/>
      </c>
      <c r="K21" s="19">
        <f>K16*'Premissas e Dados'!$C$18</f>
        <v/>
      </c>
      <c r="L21" s="19">
        <f>L16*'Premissas e Dados'!$C$18</f>
        <v/>
      </c>
      <c r="M21" s="19">
        <f>M16*'Premissas e Dados'!$C$18</f>
        <v/>
      </c>
      <c r="N21" s="19">
        <f>N16*'Premissas e Dados'!$C$18</f>
        <v/>
      </c>
      <c r="O21" s="20">
        <f>SUM(C21:N21)</f>
        <v/>
      </c>
    </row>
    <row r="22" ht="20" customHeight="1">
      <c r="B22" s="21" t="inlineStr">
        <is>
          <t>(=) CUSTO TOTAL OPERACIONAL DO PAP (R$)</t>
        </is>
      </c>
      <c r="C22" s="22">
        <f>SUM(C18:C21)</f>
        <v/>
      </c>
      <c r="D22" s="22">
        <f>SUM(D18:D21)</f>
        <v/>
      </c>
      <c r="E22" s="22">
        <f>SUM(E18:E21)</f>
        <v/>
      </c>
      <c r="F22" s="22">
        <f>SUM(F18:F21)</f>
        <v/>
      </c>
      <c r="G22" s="22">
        <f>SUM(G18:G21)</f>
        <v/>
      </c>
      <c r="H22" s="22">
        <f>SUM(H18:H21)</f>
        <v/>
      </c>
      <c r="I22" s="22">
        <f>SUM(I18:I21)</f>
        <v/>
      </c>
      <c r="J22" s="22">
        <f>SUM(J18:J21)</f>
        <v/>
      </c>
      <c r="K22" s="22">
        <f>SUM(K18:K21)</f>
        <v/>
      </c>
      <c r="L22" s="22">
        <f>SUM(L18:L21)</f>
        <v/>
      </c>
      <c r="M22" s="22">
        <f>SUM(M18:M21)</f>
        <v/>
      </c>
      <c r="N22" s="22">
        <f>SUM(N18:N21)</f>
        <v/>
      </c>
      <c r="O22" s="22">
        <f>SUM(C22:N22)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O22"/>
  <sheetViews>
    <sheetView showGridLines="1" workbookViewId="0">
      <selection activeCell="A1" sqref="A1"/>
    </sheetView>
  </sheetViews>
  <sheetFormatPr baseColWidth="8" defaultRowHeight="15" outlineLevelCol="0"/>
  <cols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Estratégia 3: Híbrida / Patamares (Recomendada)</t>
        </is>
      </c>
    </row>
    <row r="4">
      <c r="B4" s="2" t="inlineStr">
        <is>
          <t>Planejamento Agregado da Produção: Meses em Colunas, Variáveis e Custos em Linhas</t>
        </is>
      </c>
    </row>
    <row r="6" ht="26" customHeight="1">
      <c r="B6" s="23" t="inlineStr">
        <is>
          <t>Variável / Rubrica de Planejamento da Produção</t>
        </is>
      </c>
      <c r="C6" s="23" t="inlineStr">
        <is>
          <t>Jan</t>
        </is>
      </c>
      <c r="D6" s="23" t="inlineStr">
        <is>
          <t>Fev</t>
        </is>
      </c>
      <c r="E6" s="23" t="inlineStr">
        <is>
          <t>Mar</t>
        </is>
      </c>
      <c r="F6" s="23" t="inlineStr">
        <is>
          <t>Abr</t>
        </is>
      </c>
      <c r="G6" s="23" t="inlineStr">
        <is>
          <t>Mai</t>
        </is>
      </c>
      <c r="H6" s="23" t="inlineStr">
        <is>
          <t>Jun</t>
        </is>
      </c>
      <c r="I6" s="23" t="inlineStr">
        <is>
          <t>Jul</t>
        </is>
      </c>
      <c r="J6" s="23" t="inlineStr">
        <is>
          <t>Ago</t>
        </is>
      </c>
      <c r="K6" s="23" t="inlineStr">
        <is>
          <t>Set</t>
        </is>
      </c>
      <c r="L6" s="23" t="inlineStr">
        <is>
          <t>Out</t>
        </is>
      </c>
      <c r="M6" s="23" t="inlineStr">
        <is>
          <t>Nov</t>
        </is>
      </c>
      <c r="N6" s="23" t="inlineStr">
        <is>
          <t>Dez</t>
        </is>
      </c>
      <c r="O6" s="23" t="inlineStr">
        <is>
          <t>Total Anual</t>
        </is>
      </c>
    </row>
    <row r="7" ht="20" customHeight="1">
      <c r="B7" s="14" t="inlineStr">
        <is>
          <t>1. DEMANDA E VENDAS (UNIDADES)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(=) Demanda Prevista (Dt)</t>
        </is>
      </c>
      <c r="C8" s="17">
        <f>'Premissas e Dados'!C26</f>
        <v/>
      </c>
      <c r="D8" s="17">
        <f>'Premissas e Dados'!D26</f>
        <v/>
      </c>
      <c r="E8" s="17">
        <f>'Premissas e Dados'!E26</f>
        <v/>
      </c>
      <c r="F8" s="17">
        <f>'Premissas e Dados'!F26</f>
        <v/>
      </c>
      <c r="G8" s="17">
        <f>'Premissas e Dados'!G26</f>
        <v/>
      </c>
      <c r="H8" s="17">
        <f>'Premissas e Dados'!H26</f>
        <v/>
      </c>
      <c r="I8" s="17">
        <f>'Premissas e Dados'!I26</f>
        <v/>
      </c>
      <c r="J8" s="17">
        <f>'Premissas e Dados'!J26</f>
        <v/>
      </c>
      <c r="K8" s="17">
        <f>'Premissas e Dados'!K26</f>
        <v/>
      </c>
      <c r="L8" s="17">
        <f>'Premissas e Dados'!L26</f>
        <v/>
      </c>
      <c r="M8" s="17">
        <f>'Premissas e Dados'!M26</f>
        <v/>
      </c>
      <c r="N8" s="17">
        <f>'Premissas e Dados'!N26</f>
        <v/>
      </c>
      <c r="O8" s="18">
        <f>SUM(C8:N8)</f>
        <v/>
      </c>
    </row>
    <row r="9" ht="20" customHeight="1">
      <c r="B9" s="14" t="inlineStr">
        <is>
          <t>2. PLANO DE PRODUÇÃO E CAPACIDADE AGREGADA (UNIDADES)</t>
        </is>
      </c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</row>
    <row r="10" ht="20" customHeight="1">
      <c r="B10" s="16" t="inlineStr">
        <is>
          <t>(+) Produção Normal Estável (19 costureiras fixas)</t>
        </is>
      </c>
      <c r="C10" s="17" t="n">
        <v>3800</v>
      </c>
      <c r="D10" s="17" t="n">
        <v>3800</v>
      </c>
      <c r="E10" s="17" t="n">
        <v>3800</v>
      </c>
      <c r="F10" s="17" t="n">
        <v>3800</v>
      </c>
      <c r="G10" s="17" t="n">
        <v>3800</v>
      </c>
      <c r="H10" s="17" t="n">
        <v>3800</v>
      </c>
      <c r="I10" s="17" t="n">
        <v>3800</v>
      </c>
      <c r="J10" s="17" t="n">
        <v>3800</v>
      </c>
      <c r="K10" s="17" t="n">
        <v>3800</v>
      </c>
      <c r="L10" s="17" t="n">
        <v>3800</v>
      </c>
      <c r="M10" s="17" t="n">
        <v>3800</v>
      </c>
      <c r="N10" s="17" t="n">
        <v>3800</v>
      </c>
      <c r="O10" s="18">
        <f>SUM(C10:N10)</f>
        <v/>
      </c>
    </row>
    <row r="11" ht="20" customHeight="1">
      <c r="B11" s="16" t="inlineStr">
        <is>
          <t>(+) Produção em Horas Extras (HEt ≤ 800 un. CLT)</t>
        </is>
      </c>
      <c r="C11" s="17">
        <f>MIN(800, MAX(0, C8-(C14+C10)))</f>
        <v/>
      </c>
      <c r="D11" s="17">
        <f>MIN(800, MAX(0, D8-(D14+D10)))</f>
        <v/>
      </c>
      <c r="E11" s="17">
        <f>MIN(800, MAX(0, E8-(E14+E10)))</f>
        <v/>
      </c>
      <c r="F11" s="17">
        <f>MIN(800, MAX(0, F8-(F14+F10)))</f>
        <v/>
      </c>
      <c r="G11" s="17">
        <f>MIN(800, MAX(0, G8-(G14+G10)))</f>
        <v/>
      </c>
      <c r="H11" s="17">
        <f>MIN(800, MAX(0, H8-(H14+H10)))</f>
        <v/>
      </c>
      <c r="I11" s="17">
        <f>MIN(800, MAX(0, I8-(I14+I10)))</f>
        <v/>
      </c>
      <c r="J11" s="17">
        <f>MIN(800, MAX(0, J8-(J14+J10)))</f>
        <v/>
      </c>
      <c r="K11" s="17">
        <f>MIN(800, MAX(0, K8-(K14+K10)))</f>
        <v/>
      </c>
      <c r="L11" s="17">
        <f>MIN(800, MAX(0, L8-(L14+L10)))</f>
        <v/>
      </c>
      <c r="M11" s="17">
        <f>MIN(800, MAX(0, M8-(M14+M10)))</f>
        <v/>
      </c>
      <c r="N11" s="17">
        <f>MIN(800, MAX(0, N8-(N14+N10)))</f>
        <v/>
      </c>
      <c r="O11" s="18">
        <f>SUM(C11:N11)</f>
        <v/>
      </c>
    </row>
    <row r="12" ht="20" customHeight="1">
      <c r="B12" s="16" t="inlineStr">
        <is>
          <t>(+) Produção Subcontratada / Facção Externa (SUBt)</t>
        </is>
      </c>
      <c r="C12" s="17">
        <f>MAX(0, (C8-(C14+C10))-C11)</f>
        <v/>
      </c>
      <c r="D12" s="17">
        <f>MAX(0, (D8-(D14+D10))-D11)</f>
        <v/>
      </c>
      <c r="E12" s="17">
        <f>MAX(0, (E8-(E14+E10))-E11)</f>
        <v/>
      </c>
      <c r="F12" s="17">
        <f>MAX(0, (F8-(F14+F10))-F11)</f>
        <v/>
      </c>
      <c r="G12" s="17">
        <f>MAX(0, (G8-(G14+G10))-G11)</f>
        <v/>
      </c>
      <c r="H12" s="17">
        <f>MAX(0, (H8-(H14+H10))-H11)</f>
        <v/>
      </c>
      <c r="I12" s="17">
        <f>MAX(0, (I8-(I14+I10))-I11)</f>
        <v/>
      </c>
      <c r="J12" s="17">
        <f>MAX(0, (J8-(J14+J10))-J11)</f>
        <v/>
      </c>
      <c r="K12" s="17">
        <f>MAX(0, (K8-(K14+K10))-K11)</f>
        <v/>
      </c>
      <c r="L12" s="17">
        <f>MAX(0, (L8-(L14+L10))-L11)</f>
        <v/>
      </c>
      <c r="M12" s="17">
        <f>MAX(0, (M8-(M14+M10))-M11)</f>
        <v/>
      </c>
      <c r="N12" s="17">
        <f>MAX(0, (N8-(N14+N10))-N11)</f>
        <v/>
      </c>
      <c r="O12" s="18">
        <f>SUM(C12:N12)</f>
        <v/>
      </c>
    </row>
    <row r="13" ht="20" customHeight="1">
      <c r="B13" s="16" t="inlineStr">
        <is>
          <t>(=) Produção Agregada Total (PTt = Normal + HE + SUB)</t>
        </is>
      </c>
      <c r="C13" s="17">
        <f>SUM(C10:C12)</f>
        <v/>
      </c>
      <c r="D13" s="17">
        <f>SUM(D10:D12)</f>
        <v/>
      </c>
      <c r="E13" s="17">
        <f>SUM(E10:E12)</f>
        <v/>
      </c>
      <c r="F13" s="17">
        <f>SUM(F10:F12)</f>
        <v/>
      </c>
      <c r="G13" s="17">
        <f>SUM(G10:G12)</f>
        <v/>
      </c>
      <c r="H13" s="17">
        <f>SUM(H10:H12)</f>
        <v/>
      </c>
      <c r="I13" s="17">
        <f>SUM(I10:I12)</f>
        <v/>
      </c>
      <c r="J13" s="17">
        <f>SUM(J10:J12)</f>
        <v/>
      </c>
      <c r="K13" s="17">
        <f>SUM(K10:K12)</f>
        <v/>
      </c>
      <c r="L13" s="17">
        <f>SUM(L10:L12)</f>
        <v/>
      </c>
      <c r="M13" s="17">
        <f>SUM(M10:M12)</f>
        <v/>
      </c>
      <c r="N13" s="17">
        <f>SUM(N10:N12)</f>
        <v/>
      </c>
      <c r="O13" s="18">
        <f>SUM(C13:N13)</f>
        <v/>
      </c>
    </row>
    <row r="14" ht="20" customHeight="1">
      <c r="B14" s="16" t="inlineStr">
        <is>
          <t>(+) Estoque Inicial do Período (EIt)</t>
        </is>
      </c>
      <c r="C14" s="17" t="n">
        <v>400</v>
      </c>
      <c r="D14" s="17">
        <f>C15</f>
        <v/>
      </c>
      <c r="E14" s="17">
        <f>D15</f>
        <v/>
      </c>
      <c r="F14" s="17">
        <f>E15</f>
        <v/>
      </c>
      <c r="G14" s="17">
        <f>F15</f>
        <v/>
      </c>
      <c r="H14" s="17">
        <f>G15</f>
        <v/>
      </c>
      <c r="I14" s="17">
        <f>H15</f>
        <v/>
      </c>
      <c r="J14" s="17">
        <f>I15</f>
        <v/>
      </c>
      <c r="K14" s="17">
        <f>J15</f>
        <v/>
      </c>
      <c r="L14" s="17">
        <f>K15</f>
        <v/>
      </c>
      <c r="M14" s="17">
        <f>L15</f>
        <v/>
      </c>
      <c r="N14" s="17">
        <f>M15</f>
        <v/>
      </c>
      <c r="O14" s="18" t="inlineStr">
        <is>
          <t>-</t>
        </is>
      </c>
    </row>
    <row r="15" ht="20" customHeight="1">
      <c r="B15" s="16" t="inlineStr">
        <is>
          <t>(=) Estoque Final Regulador (EFt = EIt + PTt - Dt)</t>
        </is>
      </c>
      <c r="C15" s="17">
        <f>C14+C13-C8</f>
        <v/>
      </c>
      <c r="D15" s="17">
        <f>D14+D13-D8</f>
        <v/>
      </c>
      <c r="E15" s="17">
        <f>E14+E13-E8</f>
        <v/>
      </c>
      <c r="F15" s="17">
        <f>F14+F13-F8</f>
        <v/>
      </c>
      <c r="G15" s="17">
        <f>G14+G13-G8</f>
        <v/>
      </c>
      <c r="H15" s="17">
        <f>H14+H13-H8</f>
        <v/>
      </c>
      <c r="I15" s="17">
        <f>I14+I13-I8</f>
        <v/>
      </c>
      <c r="J15" s="17">
        <f>J14+J13-J8</f>
        <v/>
      </c>
      <c r="K15" s="17">
        <f>K14+K13-K8</f>
        <v/>
      </c>
      <c r="L15" s="17">
        <f>L14+L13-L8</f>
        <v/>
      </c>
      <c r="M15" s="17">
        <f>M14+M13-M8</f>
        <v/>
      </c>
      <c r="N15" s="17">
        <f>N14+N13-N8</f>
        <v/>
      </c>
      <c r="O15" s="18">
        <f>N15</f>
        <v/>
      </c>
    </row>
    <row r="16" ht="20" customHeight="1">
      <c r="B16" s="16" t="inlineStr">
        <is>
          <t>(=) Estoque Médio Mensal (EMt = [EIt + EFt] ÷ 2)</t>
        </is>
      </c>
      <c r="C16" s="17">
        <f>(C14+C15)/2</f>
        <v/>
      </c>
      <c r="D16" s="17">
        <f>(D14+D15)/2</f>
        <v/>
      </c>
      <c r="E16" s="17">
        <f>(E14+E15)/2</f>
        <v/>
      </c>
      <c r="F16" s="17">
        <f>(F14+F15)/2</f>
        <v/>
      </c>
      <c r="G16" s="17">
        <f>(G14+G15)/2</f>
        <v/>
      </c>
      <c r="H16" s="17">
        <f>(H14+H15)/2</f>
        <v/>
      </c>
      <c r="I16" s="17">
        <f>(I14+I15)/2</f>
        <v/>
      </c>
      <c r="J16" s="17">
        <f>(J14+J15)/2</f>
        <v/>
      </c>
      <c r="K16" s="17">
        <f>(K14+K15)/2</f>
        <v/>
      </c>
      <c r="L16" s="17">
        <f>(L14+L15)/2</f>
        <v/>
      </c>
      <c r="M16" s="17">
        <f>(M14+M15)/2</f>
        <v/>
      </c>
      <c r="N16" s="17">
        <f>(N14+N15)/2</f>
        <v/>
      </c>
      <c r="O16" s="18">
        <f>AVERAGE(C16:N16)</f>
        <v/>
      </c>
    </row>
    <row r="17" ht="20" customHeight="1">
      <c r="B17" s="14" t="inlineStr">
        <is>
          <t>3. PLANO FINANCEIRO / CUSTOS OPERACIONAIS DO PAP (R$)</t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</row>
    <row r="18" ht="20" customHeight="1">
      <c r="B18" s="16" t="inlineStr">
        <is>
          <t>(+) Custos de Produção em Turno Normal (cn = R$ 38,00)</t>
        </is>
      </c>
      <c r="C18" s="19">
        <f>C10*'Premissas e Dados'!$C$15</f>
        <v/>
      </c>
      <c r="D18" s="19">
        <f>D10*'Premissas e Dados'!$C$15</f>
        <v/>
      </c>
      <c r="E18" s="19">
        <f>E10*'Premissas e Dados'!$C$15</f>
        <v/>
      </c>
      <c r="F18" s="19">
        <f>F10*'Premissas e Dados'!$C$15</f>
        <v/>
      </c>
      <c r="G18" s="19">
        <f>G10*'Premissas e Dados'!$C$15</f>
        <v/>
      </c>
      <c r="H18" s="19">
        <f>H10*'Premissas e Dados'!$C$15</f>
        <v/>
      </c>
      <c r="I18" s="19">
        <f>I10*'Premissas e Dados'!$C$15</f>
        <v/>
      </c>
      <c r="J18" s="19">
        <f>J10*'Premissas e Dados'!$C$15</f>
        <v/>
      </c>
      <c r="K18" s="19">
        <f>K10*'Premissas e Dados'!$C$15</f>
        <v/>
      </c>
      <c r="L18" s="19">
        <f>L10*'Premissas e Dados'!$C$15</f>
        <v/>
      </c>
      <c r="M18" s="19">
        <f>M10*'Premissas e Dados'!$C$15</f>
        <v/>
      </c>
      <c r="N18" s="19">
        <f>N10*'Premissas e Dados'!$C$15</f>
        <v/>
      </c>
      <c r="O18" s="20">
        <f>SUM(C18:N18)</f>
        <v/>
      </c>
    </row>
    <row r="19" ht="20" customHeight="1">
      <c r="B19" s="16" t="inlineStr">
        <is>
          <t>(+) Custos de Produção em Horas Extras (che = R$ 46,00)</t>
        </is>
      </c>
      <c r="C19" s="19">
        <f>C11*'Premissas e Dados'!$C$16</f>
        <v/>
      </c>
      <c r="D19" s="19">
        <f>D11*'Premissas e Dados'!$C$16</f>
        <v/>
      </c>
      <c r="E19" s="19">
        <f>E11*'Premissas e Dados'!$C$16</f>
        <v/>
      </c>
      <c r="F19" s="19">
        <f>F11*'Premissas e Dados'!$C$16</f>
        <v/>
      </c>
      <c r="G19" s="19">
        <f>G11*'Premissas e Dados'!$C$16</f>
        <v/>
      </c>
      <c r="H19" s="19">
        <f>H11*'Premissas e Dados'!$C$16</f>
        <v/>
      </c>
      <c r="I19" s="19">
        <f>I11*'Premissas e Dados'!$C$16</f>
        <v/>
      </c>
      <c r="J19" s="19">
        <f>J11*'Premissas e Dados'!$C$16</f>
        <v/>
      </c>
      <c r="K19" s="19">
        <f>K11*'Premissas e Dados'!$C$16</f>
        <v/>
      </c>
      <c r="L19" s="19">
        <f>L11*'Premissas e Dados'!$C$16</f>
        <v/>
      </c>
      <c r="M19" s="19">
        <f>M11*'Premissas e Dados'!$C$16</f>
        <v/>
      </c>
      <c r="N19" s="19">
        <f>N11*'Premissas e Dados'!$C$16</f>
        <v/>
      </c>
      <c r="O19" s="20">
        <f>SUM(C19:N19)</f>
        <v/>
      </c>
    </row>
    <row r="20" ht="20" customHeight="1">
      <c r="B20" s="16" t="inlineStr">
        <is>
          <t>(+) Custos de Subcontratação / Facção Externa (csub = R$ 52,00)</t>
        </is>
      </c>
      <c r="C20" s="19">
        <f>C12*'Premissas e Dados'!$C$17</f>
        <v/>
      </c>
      <c r="D20" s="19">
        <f>D12*'Premissas e Dados'!$C$17</f>
        <v/>
      </c>
      <c r="E20" s="19">
        <f>E12*'Premissas e Dados'!$C$17</f>
        <v/>
      </c>
      <c r="F20" s="19">
        <f>F12*'Premissas e Dados'!$C$17</f>
        <v/>
      </c>
      <c r="G20" s="19">
        <f>G12*'Premissas e Dados'!$C$17</f>
        <v/>
      </c>
      <c r="H20" s="19">
        <f>H12*'Premissas e Dados'!$C$17</f>
        <v/>
      </c>
      <c r="I20" s="19">
        <f>I12*'Premissas e Dados'!$C$17</f>
        <v/>
      </c>
      <c r="J20" s="19">
        <f>J12*'Premissas e Dados'!$C$17</f>
        <v/>
      </c>
      <c r="K20" s="19">
        <f>K12*'Premissas e Dados'!$C$17</f>
        <v/>
      </c>
      <c r="L20" s="19">
        <f>L12*'Premissas e Dados'!$C$17</f>
        <v/>
      </c>
      <c r="M20" s="19">
        <f>M12*'Premissas e Dados'!$C$17</f>
        <v/>
      </c>
      <c r="N20" s="19">
        <f>N12*'Premissas e Dados'!$C$17</f>
        <v/>
      </c>
      <c r="O20" s="20">
        <f>SUM(C20:N20)</f>
        <v/>
      </c>
    </row>
    <row r="21" ht="20" customHeight="1">
      <c r="B21" s="16" t="inlineStr">
        <is>
          <t>(+) Custos de Manutenção / Posse de Estoque (ce = R$ 3,00)</t>
        </is>
      </c>
      <c r="C21" s="19">
        <f>C16*'Premissas e Dados'!$C$18</f>
        <v/>
      </c>
      <c r="D21" s="19">
        <f>D16*'Premissas e Dados'!$C$18</f>
        <v/>
      </c>
      <c r="E21" s="19">
        <f>E16*'Premissas e Dados'!$C$18</f>
        <v/>
      </c>
      <c r="F21" s="19">
        <f>F16*'Premissas e Dados'!$C$18</f>
        <v/>
      </c>
      <c r="G21" s="19">
        <f>G16*'Premissas e Dados'!$C$18</f>
        <v/>
      </c>
      <c r="H21" s="19">
        <f>H16*'Premissas e Dados'!$C$18</f>
        <v/>
      </c>
      <c r="I21" s="19">
        <f>I16*'Premissas e Dados'!$C$18</f>
        <v/>
      </c>
      <c r="J21" s="19">
        <f>J16*'Premissas e Dados'!$C$18</f>
        <v/>
      </c>
      <c r="K21" s="19">
        <f>K16*'Premissas e Dados'!$C$18</f>
        <v/>
      </c>
      <c r="L21" s="19">
        <f>L16*'Premissas e Dados'!$C$18</f>
        <v/>
      </c>
      <c r="M21" s="19">
        <f>M16*'Premissas e Dados'!$C$18</f>
        <v/>
      </c>
      <c r="N21" s="19">
        <f>N16*'Premissas e Dados'!$C$18</f>
        <v/>
      </c>
      <c r="O21" s="20">
        <f>SUM(C21:N21)</f>
        <v/>
      </c>
    </row>
    <row r="22" ht="20" customHeight="1">
      <c r="B22" s="24" t="inlineStr">
        <is>
          <t>(=) CUSTO TOTAL OPERACIONAL DO PAP (R$)</t>
        </is>
      </c>
      <c r="C22" s="25">
        <f>SUM(C18:C21)</f>
        <v/>
      </c>
      <c r="D22" s="25">
        <f>SUM(D18:D21)</f>
        <v/>
      </c>
      <c r="E22" s="25">
        <f>SUM(E18:E21)</f>
        <v/>
      </c>
      <c r="F22" s="25">
        <f>SUM(F18:F21)</f>
        <v/>
      </c>
      <c r="G22" s="25">
        <f>SUM(G18:G21)</f>
        <v/>
      </c>
      <c r="H22" s="25">
        <f>SUM(H18:H21)</f>
        <v/>
      </c>
      <c r="I22" s="25">
        <f>SUM(I18:I21)</f>
        <v/>
      </c>
      <c r="J22" s="25">
        <f>SUM(J18:J21)</f>
        <v/>
      </c>
      <c r="K22" s="25">
        <f>SUM(K18:K21)</f>
        <v/>
      </c>
      <c r="L22" s="25">
        <f>SUM(L18:L21)</f>
        <v/>
      </c>
      <c r="M22" s="25">
        <f>SUM(M18:M21)</f>
        <v/>
      </c>
      <c r="N22" s="25">
        <f>SUM(N18:N21)</f>
        <v/>
      </c>
      <c r="O22" s="25">
        <f>SUM(C22:N22)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25"/>
  <sheetViews>
    <sheetView showGridLines="1" workbookViewId="0">
      <selection activeCell="A1" sqref="A1"/>
    </sheetView>
  </sheetViews>
  <sheetFormatPr baseColWidth="8" defaultRowHeight="15" outlineLevelCol="0"/>
  <cols>
    <col width="4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</cols>
  <sheetData>
    <row r="2">
      <c r="B2" s="1" t="inlineStr">
        <is>
          <t>VÉRTICE CONFECÇÕES &amp; UNIFORMES PROFISSIONAIS LTDA.</t>
        </is>
      </c>
    </row>
    <row r="3">
      <c r="B3" s="1" t="inlineStr">
        <is>
          <t>Comparativo do Plano Financeiro do PAP</t>
        </is>
      </c>
    </row>
    <row r="4">
      <c r="B4" s="2" t="inlineStr">
        <is>
          <t>Comparativo Consolidado de Custos Operacionais Mensais e Anuais entre as Estratégias</t>
        </is>
      </c>
    </row>
    <row r="6" ht="26" customHeight="1">
      <c r="B6" s="13" t="inlineStr">
        <is>
          <t>Estratégia / Rubrica de Custo Operacional (R$)</t>
        </is>
      </c>
      <c r="C6" s="13" t="inlineStr">
        <is>
          <t>Jan</t>
        </is>
      </c>
      <c r="D6" s="13" t="inlineStr">
        <is>
          <t>Fev</t>
        </is>
      </c>
      <c r="E6" s="13" t="inlineStr">
        <is>
          <t>Mar</t>
        </is>
      </c>
      <c r="F6" s="13" t="inlineStr">
        <is>
          <t>Abr</t>
        </is>
      </c>
      <c r="G6" s="13" t="inlineStr">
        <is>
          <t>Mai</t>
        </is>
      </c>
      <c r="H6" s="13" t="inlineStr">
        <is>
          <t>Jun</t>
        </is>
      </c>
      <c r="I6" s="13" t="inlineStr">
        <is>
          <t>Jul</t>
        </is>
      </c>
      <c r="J6" s="13" t="inlineStr">
        <is>
          <t>Ago</t>
        </is>
      </c>
      <c r="K6" s="13" t="inlineStr">
        <is>
          <t>Set</t>
        </is>
      </c>
      <c r="L6" s="13" t="inlineStr">
        <is>
          <t>Out</t>
        </is>
      </c>
      <c r="M6" s="13" t="inlineStr">
        <is>
          <t>Nov</t>
        </is>
      </c>
      <c r="N6" s="13" t="inlineStr">
        <is>
          <t>Dez</t>
        </is>
      </c>
      <c r="O6" s="13" t="inlineStr">
        <is>
          <t>Total Anual</t>
        </is>
      </c>
    </row>
    <row r="7" ht="20" customHeight="1">
      <c r="B7" s="14" t="inlineStr">
        <is>
          <t>ESTRATÉGIA 1: PRODUÇÃO CONSTANTE (NIVELAMENTO / LEVEL)</t>
        </is>
      </c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</row>
    <row r="8" ht="20" customHeight="1">
      <c r="B8" s="16" t="inlineStr">
        <is>
          <t>(+) Custo de Produção em Turno Normal</t>
        </is>
      </c>
      <c r="C8" s="19">
        <f>'Estratégia 1 - Nivelamento'!C19</f>
        <v/>
      </c>
      <c r="D8" s="19">
        <f>'Estratégia 1 - Nivelamento'!D19</f>
        <v/>
      </c>
      <c r="E8" s="19">
        <f>'Estratégia 1 - Nivelamento'!E19</f>
        <v/>
      </c>
      <c r="F8" s="19">
        <f>'Estratégia 1 - Nivelamento'!F19</f>
        <v/>
      </c>
      <c r="G8" s="19">
        <f>'Estratégia 1 - Nivelamento'!G19</f>
        <v/>
      </c>
      <c r="H8" s="19">
        <f>'Estratégia 1 - Nivelamento'!H19</f>
        <v/>
      </c>
      <c r="I8" s="19">
        <f>'Estratégia 1 - Nivelamento'!I19</f>
        <v/>
      </c>
      <c r="J8" s="19">
        <f>'Estratégia 1 - Nivelamento'!J19</f>
        <v/>
      </c>
      <c r="K8" s="19">
        <f>'Estratégia 1 - Nivelamento'!K19</f>
        <v/>
      </c>
      <c r="L8" s="19">
        <f>'Estratégia 1 - Nivelamento'!L19</f>
        <v/>
      </c>
      <c r="M8" s="19">
        <f>'Estratégia 1 - Nivelamento'!M19</f>
        <v/>
      </c>
      <c r="N8" s="19">
        <f>'Estratégia 1 - Nivelamento'!N19</f>
        <v/>
      </c>
      <c r="O8" s="20">
        <f>SUM(C8:N8)</f>
        <v/>
      </c>
    </row>
    <row r="9" ht="20" customHeight="1">
      <c r="B9" s="16" t="inlineStr">
        <is>
          <t>(+) Custo de Posse de Estoque</t>
        </is>
      </c>
      <c r="C9" s="19">
        <f>'Estratégia 1 - Nivelamento'!C20</f>
        <v/>
      </c>
      <c r="D9" s="19">
        <f>'Estratégia 1 - Nivelamento'!D20</f>
        <v/>
      </c>
      <c r="E9" s="19">
        <f>'Estratégia 1 - Nivelamento'!E20</f>
        <v/>
      </c>
      <c r="F9" s="19">
        <f>'Estratégia 1 - Nivelamento'!F20</f>
        <v/>
      </c>
      <c r="G9" s="19">
        <f>'Estratégia 1 - Nivelamento'!G20</f>
        <v/>
      </c>
      <c r="H9" s="19">
        <f>'Estratégia 1 - Nivelamento'!H20</f>
        <v/>
      </c>
      <c r="I9" s="19">
        <f>'Estratégia 1 - Nivelamento'!I20</f>
        <v/>
      </c>
      <c r="J9" s="19">
        <f>'Estratégia 1 - Nivelamento'!J20</f>
        <v/>
      </c>
      <c r="K9" s="19">
        <f>'Estratégia 1 - Nivelamento'!K20</f>
        <v/>
      </c>
      <c r="L9" s="19">
        <f>'Estratégia 1 - Nivelamento'!L20</f>
        <v/>
      </c>
      <c r="M9" s="19">
        <f>'Estratégia 1 - Nivelamento'!M20</f>
        <v/>
      </c>
      <c r="N9" s="19">
        <f>'Estratégia 1 - Nivelamento'!N20</f>
        <v/>
      </c>
      <c r="O9" s="20">
        <f>SUM(C9:N9)</f>
        <v/>
      </c>
    </row>
    <row r="10" ht="20" customHeight="1">
      <c r="B10" s="16" t="inlineStr">
        <is>
          <t>(+) Custo de Penalidade por Atraso / Backlog</t>
        </is>
      </c>
      <c r="C10" s="19">
        <f>'Estratégia 1 - Nivelamento'!C21</f>
        <v/>
      </c>
      <c r="D10" s="19">
        <f>'Estratégia 1 - Nivelamento'!D21</f>
        <v/>
      </c>
      <c r="E10" s="19">
        <f>'Estratégia 1 - Nivelamento'!E21</f>
        <v/>
      </c>
      <c r="F10" s="19">
        <f>'Estratégia 1 - Nivelamento'!F21</f>
        <v/>
      </c>
      <c r="G10" s="19">
        <f>'Estratégia 1 - Nivelamento'!G21</f>
        <v/>
      </c>
      <c r="H10" s="19">
        <f>'Estratégia 1 - Nivelamento'!H21</f>
        <v/>
      </c>
      <c r="I10" s="19">
        <f>'Estratégia 1 - Nivelamento'!I21</f>
        <v/>
      </c>
      <c r="J10" s="19">
        <f>'Estratégia 1 - Nivelamento'!J21</f>
        <v/>
      </c>
      <c r="K10" s="19">
        <f>'Estratégia 1 - Nivelamento'!K21</f>
        <v/>
      </c>
      <c r="L10" s="19">
        <f>'Estratégia 1 - Nivelamento'!L21</f>
        <v/>
      </c>
      <c r="M10" s="19">
        <f>'Estratégia 1 - Nivelamento'!M21</f>
        <v/>
      </c>
      <c r="N10" s="19">
        <f>'Estratégia 1 - Nivelamento'!N21</f>
        <v/>
      </c>
      <c r="O10" s="20">
        <f>SUM(C10:N10)</f>
        <v/>
      </c>
    </row>
    <row r="11" ht="20" customHeight="1">
      <c r="B11" s="21" t="inlineStr">
        <is>
          <t>(=) CUSTO TOTAL MENSAL - E1 NIVELAMENTO</t>
        </is>
      </c>
      <c r="C11" s="22">
        <f>SUM(C8:C10)</f>
        <v/>
      </c>
      <c r="D11" s="22">
        <f>SUM(D8:D10)</f>
        <v/>
      </c>
      <c r="E11" s="22">
        <f>SUM(E8:E10)</f>
        <v/>
      </c>
      <c r="F11" s="22">
        <f>SUM(F8:F10)</f>
        <v/>
      </c>
      <c r="G11" s="22">
        <f>SUM(G8:G10)</f>
        <v/>
      </c>
      <c r="H11" s="22">
        <f>SUM(H8:H10)</f>
        <v/>
      </c>
      <c r="I11" s="22">
        <f>SUM(I8:I10)</f>
        <v/>
      </c>
      <c r="J11" s="22">
        <f>SUM(J8:J10)</f>
        <v/>
      </c>
      <c r="K11" s="22">
        <f>SUM(K8:K10)</f>
        <v/>
      </c>
      <c r="L11" s="22">
        <f>SUM(L8:L10)</f>
        <v/>
      </c>
      <c r="M11" s="22">
        <f>SUM(M8:M10)</f>
        <v/>
      </c>
      <c r="N11" s="22">
        <f>SUM(N8:N10)</f>
        <v/>
      </c>
      <c r="O11" s="22">
        <f>SUM(C11:N11)</f>
        <v/>
      </c>
    </row>
    <row r="13" ht="20" customHeight="1">
      <c r="B13" s="14" t="inlineStr">
        <is>
          <t>ESTRATÉGIA 2: ACOMPANHAMENTO DA DEMANDA (CHASE STRATEGY)</t>
        </is>
      </c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</row>
    <row r="14" ht="20" customHeight="1">
      <c r="B14" s="16" t="inlineStr">
        <is>
          <t>(+) Custo de Produção em Turno Normal</t>
        </is>
      </c>
      <c r="C14" s="19">
        <f>'Estratégia 2 - Acompanhamento'!C18</f>
        <v/>
      </c>
      <c r="D14" s="19">
        <f>'Estratégia 2 - Acompanhamento'!D18</f>
        <v/>
      </c>
      <c r="E14" s="19">
        <f>'Estratégia 2 - Acompanhamento'!E18</f>
        <v/>
      </c>
      <c r="F14" s="19">
        <f>'Estratégia 2 - Acompanhamento'!F18</f>
        <v/>
      </c>
      <c r="G14" s="19">
        <f>'Estratégia 2 - Acompanhamento'!G18</f>
        <v/>
      </c>
      <c r="H14" s="19">
        <f>'Estratégia 2 - Acompanhamento'!H18</f>
        <v/>
      </c>
      <c r="I14" s="19">
        <f>'Estratégia 2 - Acompanhamento'!I18</f>
        <v/>
      </c>
      <c r="J14" s="19">
        <f>'Estratégia 2 - Acompanhamento'!J18</f>
        <v/>
      </c>
      <c r="K14" s="19">
        <f>'Estratégia 2 - Acompanhamento'!K18</f>
        <v/>
      </c>
      <c r="L14" s="19">
        <f>'Estratégia 2 - Acompanhamento'!L18</f>
        <v/>
      </c>
      <c r="M14" s="19">
        <f>'Estratégia 2 - Acompanhamento'!M18</f>
        <v/>
      </c>
      <c r="N14" s="19">
        <f>'Estratégia 2 - Acompanhamento'!N18</f>
        <v/>
      </c>
      <c r="O14" s="20">
        <f>SUM(C14:N14)</f>
        <v/>
      </c>
    </row>
    <row r="15" ht="20" customHeight="1">
      <c r="B15" s="16" t="inlineStr">
        <is>
          <t>(+) Custo de Rotatividade (Admissões + Demissões)</t>
        </is>
      </c>
      <c r="C15" s="19">
        <f>'Estratégia 2 - Acompanhamento'!C19+'Estratégia 2 - Acompanhamento'!C20</f>
        <v/>
      </c>
      <c r="D15" s="19">
        <f>'Estratégia 2 - Acompanhamento'!D19+'Estratégia 2 - Acompanhamento'!D20</f>
        <v/>
      </c>
      <c r="E15" s="19">
        <f>'Estratégia 2 - Acompanhamento'!E19+'Estratégia 2 - Acompanhamento'!E20</f>
        <v/>
      </c>
      <c r="F15" s="19">
        <f>'Estratégia 2 - Acompanhamento'!F19+'Estratégia 2 - Acompanhamento'!F20</f>
        <v/>
      </c>
      <c r="G15" s="19">
        <f>'Estratégia 2 - Acompanhamento'!G19+'Estratégia 2 - Acompanhamento'!G20</f>
        <v/>
      </c>
      <c r="H15" s="19">
        <f>'Estratégia 2 - Acompanhamento'!H19+'Estratégia 2 - Acompanhamento'!H20</f>
        <v/>
      </c>
      <c r="I15" s="19">
        <f>'Estratégia 2 - Acompanhamento'!I19+'Estratégia 2 - Acompanhamento'!I20</f>
        <v/>
      </c>
      <c r="J15" s="19">
        <f>'Estratégia 2 - Acompanhamento'!J19+'Estratégia 2 - Acompanhamento'!J20</f>
        <v/>
      </c>
      <c r="K15" s="19">
        <f>'Estratégia 2 - Acompanhamento'!K19+'Estratégia 2 - Acompanhamento'!K20</f>
        <v/>
      </c>
      <c r="L15" s="19">
        <f>'Estratégia 2 - Acompanhamento'!L19+'Estratégia 2 - Acompanhamento'!L20</f>
        <v/>
      </c>
      <c r="M15" s="19">
        <f>'Estratégia 2 - Acompanhamento'!M19+'Estratégia 2 - Acompanhamento'!M20</f>
        <v/>
      </c>
      <c r="N15" s="19">
        <f>'Estratégia 2 - Acompanhamento'!N19+'Estratégia 2 - Acompanhamento'!N20</f>
        <v/>
      </c>
      <c r="O15" s="20">
        <f>SUM(C15:N15)</f>
        <v/>
      </c>
    </row>
    <row r="16" ht="20" customHeight="1">
      <c r="B16" s="16" t="inlineStr">
        <is>
          <t>(+) Custo de Posse de Estoque de Segurança</t>
        </is>
      </c>
      <c r="C16" s="19">
        <f>'Estratégia 2 - Acompanhamento'!C21</f>
        <v/>
      </c>
      <c r="D16" s="19">
        <f>'Estratégia 2 - Acompanhamento'!D21</f>
        <v/>
      </c>
      <c r="E16" s="19">
        <f>'Estratégia 2 - Acompanhamento'!E21</f>
        <v/>
      </c>
      <c r="F16" s="19">
        <f>'Estratégia 2 - Acompanhamento'!F21</f>
        <v/>
      </c>
      <c r="G16" s="19">
        <f>'Estratégia 2 - Acompanhamento'!G21</f>
        <v/>
      </c>
      <c r="H16" s="19">
        <f>'Estratégia 2 - Acompanhamento'!H21</f>
        <v/>
      </c>
      <c r="I16" s="19">
        <f>'Estratégia 2 - Acompanhamento'!I21</f>
        <v/>
      </c>
      <c r="J16" s="19">
        <f>'Estratégia 2 - Acompanhamento'!J21</f>
        <v/>
      </c>
      <c r="K16" s="19">
        <f>'Estratégia 2 - Acompanhamento'!K21</f>
        <v/>
      </c>
      <c r="L16" s="19">
        <f>'Estratégia 2 - Acompanhamento'!L21</f>
        <v/>
      </c>
      <c r="M16" s="19">
        <f>'Estratégia 2 - Acompanhamento'!M21</f>
        <v/>
      </c>
      <c r="N16" s="19">
        <f>'Estratégia 2 - Acompanhamento'!N21</f>
        <v/>
      </c>
      <c r="O16" s="20">
        <f>SUM(C16:N16)</f>
        <v/>
      </c>
    </row>
    <row r="17" ht="20" customHeight="1">
      <c r="B17" s="21" t="inlineStr">
        <is>
          <t>(=) CUSTO TOTAL MENSAL - E2 ACOMPANHAMENTO</t>
        </is>
      </c>
      <c r="C17" s="22">
        <f>SUM(C14:C16)</f>
        <v/>
      </c>
      <c r="D17" s="22">
        <f>SUM(D14:D16)</f>
        <v/>
      </c>
      <c r="E17" s="22">
        <f>SUM(E14:E16)</f>
        <v/>
      </c>
      <c r="F17" s="22">
        <f>SUM(F14:F16)</f>
        <v/>
      </c>
      <c r="G17" s="22">
        <f>SUM(G14:G16)</f>
        <v/>
      </c>
      <c r="H17" s="22">
        <f>SUM(H14:H16)</f>
        <v/>
      </c>
      <c r="I17" s="22">
        <f>SUM(I14:I16)</f>
        <v/>
      </c>
      <c r="J17" s="22">
        <f>SUM(J14:J16)</f>
        <v/>
      </c>
      <c r="K17" s="22">
        <f>SUM(K14:K16)</f>
        <v/>
      </c>
      <c r="L17" s="22">
        <f>SUM(L14:L16)</f>
        <v/>
      </c>
      <c r="M17" s="22">
        <f>SUM(M14:M16)</f>
        <v/>
      </c>
      <c r="N17" s="22">
        <f>SUM(N14:N16)</f>
        <v/>
      </c>
      <c r="O17" s="22">
        <f>SUM(C17:N17)</f>
        <v/>
      </c>
    </row>
    <row r="19" ht="20" customHeight="1">
      <c r="B19" s="14" t="inlineStr">
        <is>
          <t>ESTRATÉGIA 3: HÍBRIDA / PATAMARES (SOLUÇÃO RECOMENDADA)</t>
        </is>
      </c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</row>
    <row r="20" ht="20" customHeight="1">
      <c r="B20" s="16" t="inlineStr">
        <is>
          <t>(+) Custo de Produção em Turno Normal (19 operadoras)</t>
        </is>
      </c>
      <c r="C20" s="19">
        <f>'Estratégia 3 - Híbrida'!C18</f>
        <v/>
      </c>
      <c r="D20" s="19">
        <f>'Estratégia 3 - Híbrida'!D18</f>
        <v/>
      </c>
      <c r="E20" s="19">
        <f>'Estratégia 3 - Híbrida'!E18</f>
        <v/>
      </c>
      <c r="F20" s="19">
        <f>'Estratégia 3 - Híbrida'!F18</f>
        <v/>
      </c>
      <c r="G20" s="19">
        <f>'Estratégia 3 - Híbrida'!G18</f>
        <v/>
      </c>
      <c r="H20" s="19">
        <f>'Estratégia 3 - Híbrida'!H18</f>
        <v/>
      </c>
      <c r="I20" s="19">
        <f>'Estratégia 3 - Híbrida'!I18</f>
        <v/>
      </c>
      <c r="J20" s="19">
        <f>'Estratégia 3 - Híbrida'!J18</f>
        <v/>
      </c>
      <c r="K20" s="19">
        <f>'Estratégia 3 - Híbrida'!K18</f>
        <v/>
      </c>
      <c r="L20" s="19">
        <f>'Estratégia 3 - Híbrida'!L18</f>
        <v/>
      </c>
      <c r="M20" s="19">
        <f>'Estratégia 3 - Híbrida'!M18</f>
        <v/>
      </c>
      <c r="N20" s="19">
        <f>'Estratégia 3 - Híbrida'!N18</f>
        <v/>
      </c>
      <c r="O20" s="20">
        <f>SUM(C20:N20)</f>
        <v/>
      </c>
    </row>
    <row r="21" ht="20" customHeight="1">
      <c r="B21" s="16" t="inlineStr">
        <is>
          <t>(+) Custo de Horas Extras e Facção Externa</t>
        </is>
      </c>
      <c r="C21" s="19">
        <f>'Estratégia 3 - Híbrida'!C19+'Estratégia 3 - Híbrida'!C20</f>
        <v/>
      </c>
      <c r="D21" s="19">
        <f>'Estratégia 3 - Híbrida'!D19+'Estratégia 3 - Híbrida'!D20</f>
        <v/>
      </c>
      <c r="E21" s="19">
        <f>'Estratégia 3 - Híbrida'!E19+'Estratégia 3 - Híbrida'!E20</f>
        <v/>
      </c>
      <c r="F21" s="19">
        <f>'Estratégia 3 - Híbrida'!F19+'Estratégia 3 - Híbrida'!F20</f>
        <v/>
      </c>
      <c r="G21" s="19">
        <f>'Estratégia 3 - Híbrida'!G19+'Estratégia 3 - Híbrida'!G20</f>
        <v/>
      </c>
      <c r="H21" s="19">
        <f>'Estratégia 3 - Híbrida'!H19+'Estratégia 3 - Híbrida'!H20</f>
        <v/>
      </c>
      <c r="I21" s="19">
        <f>'Estratégia 3 - Híbrida'!I19+'Estratégia 3 - Híbrida'!I20</f>
        <v/>
      </c>
      <c r="J21" s="19">
        <f>'Estratégia 3 - Híbrida'!J19+'Estratégia 3 - Híbrida'!J20</f>
        <v/>
      </c>
      <c r="K21" s="19">
        <f>'Estratégia 3 - Híbrida'!K19+'Estratégia 3 - Híbrida'!K20</f>
        <v/>
      </c>
      <c r="L21" s="19">
        <f>'Estratégia 3 - Híbrida'!L19+'Estratégia 3 - Híbrida'!L20</f>
        <v/>
      </c>
      <c r="M21" s="19">
        <f>'Estratégia 3 - Híbrida'!M19+'Estratégia 3 - Híbrida'!M20</f>
        <v/>
      </c>
      <c r="N21" s="19">
        <f>'Estratégia 3 - Híbrida'!N19+'Estratégia 3 - Híbrida'!N20</f>
        <v/>
      </c>
      <c r="O21" s="20">
        <f>SUM(C21:N21)</f>
        <v/>
      </c>
    </row>
    <row r="22" ht="20" customHeight="1">
      <c r="B22" s="16" t="inlineStr">
        <is>
          <t>(+) Custo de Posse de Estoque Regulador</t>
        </is>
      </c>
      <c r="C22" s="19">
        <f>'Estratégia 3 - Híbrida'!C21</f>
        <v/>
      </c>
      <c r="D22" s="19">
        <f>'Estratégia 3 - Híbrida'!D21</f>
        <v/>
      </c>
      <c r="E22" s="19">
        <f>'Estratégia 3 - Híbrida'!E21</f>
        <v/>
      </c>
      <c r="F22" s="19">
        <f>'Estratégia 3 - Híbrida'!F21</f>
        <v/>
      </c>
      <c r="G22" s="19">
        <f>'Estratégia 3 - Híbrida'!G21</f>
        <v/>
      </c>
      <c r="H22" s="19">
        <f>'Estratégia 3 - Híbrida'!H21</f>
        <v/>
      </c>
      <c r="I22" s="19">
        <f>'Estratégia 3 - Híbrida'!I21</f>
        <v/>
      </c>
      <c r="J22" s="19">
        <f>'Estratégia 3 - Híbrida'!J21</f>
        <v/>
      </c>
      <c r="K22" s="19">
        <f>'Estratégia 3 - Híbrida'!K21</f>
        <v/>
      </c>
      <c r="L22" s="19">
        <f>'Estratégia 3 - Híbrida'!L21</f>
        <v/>
      </c>
      <c r="M22" s="19">
        <f>'Estratégia 3 - Híbrida'!M21</f>
        <v/>
      </c>
      <c r="N22" s="19">
        <f>'Estratégia 3 - Híbrida'!N21</f>
        <v/>
      </c>
      <c r="O22" s="20">
        <f>SUM(C22:N22)</f>
        <v/>
      </c>
    </row>
    <row r="23" ht="20" customHeight="1">
      <c r="B23" s="24" t="inlineStr">
        <is>
          <t>(=) CUSTO TOTAL MENSAL - E3 HÍBRIDA (RECOMENDADA)</t>
        </is>
      </c>
      <c r="C23" s="25">
        <f>SUM(C20:C22)</f>
        <v/>
      </c>
      <c r="D23" s="25">
        <f>SUM(D20:D22)</f>
        <v/>
      </c>
      <c r="E23" s="25">
        <f>SUM(E20:E22)</f>
        <v/>
      </c>
      <c r="F23" s="25">
        <f>SUM(F20:F22)</f>
        <v/>
      </c>
      <c r="G23" s="25">
        <f>SUM(G20:G22)</f>
        <v/>
      </c>
      <c r="H23" s="25">
        <f>SUM(H20:H22)</f>
        <v/>
      </c>
      <c r="I23" s="25">
        <f>SUM(I20:I22)</f>
        <v/>
      </c>
      <c r="J23" s="25">
        <f>SUM(J20:J22)</f>
        <v/>
      </c>
      <c r="K23" s="25">
        <f>SUM(K20:K22)</f>
        <v/>
      </c>
      <c r="L23" s="25">
        <f>SUM(L20:L22)</f>
        <v/>
      </c>
      <c r="M23" s="25">
        <f>SUM(M20:M22)</f>
        <v/>
      </c>
      <c r="N23" s="25">
        <f>SUM(N20:N22)</f>
        <v/>
      </c>
      <c r="O23" s="25">
        <f>SUM(C23:N23)</f>
        <v/>
      </c>
    </row>
    <row r="25" ht="20" customHeight="1">
      <c r="B25" s="24" t="inlineStr">
        <is>
          <t>ECONOMIA GERADA PELA E3 HÍBRIDA FRENTE AO NIVELAMENTO (R$)</t>
        </is>
      </c>
      <c r="C25" s="25">
        <f>C11-C23</f>
        <v/>
      </c>
      <c r="D25" s="25">
        <f>D11-D23</f>
        <v/>
      </c>
      <c r="E25" s="25">
        <f>E11-E23</f>
        <v/>
      </c>
      <c r="F25" s="25">
        <f>F11-F23</f>
        <v/>
      </c>
      <c r="G25" s="25">
        <f>G11-G23</f>
        <v/>
      </c>
      <c r="H25" s="25">
        <f>H11-H23</f>
        <v/>
      </c>
      <c r="I25" s="25">
        <f>I11-I23</f>
        <v/>
      </c>
      <c r="J25" s="25">
        <f>J11-J23</f>
        <v/>
      </c>
      <c r="K25" s="25">
        <f>K11-K23</f>
        <v/>
      </c>
      <c r="L25" s="25">
        <f>L11-L23</f>
        <v/>
      </c>
      <c r="M25" s="25">
        <f>M11-M23</f>
        <v/>
      </c>
      <c r="N25" s="25">
        <f>N11-N23</f>
        <v/>
      </c>
      <c r="O25" s="25">
        <f>O11-O23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2026-09-29T14:00:25Z</dcterms:created>
  <dcterms:modified xmlns:dcterms="http://purl.org/dc/terms/" xmlns:xsi="http://www.w3.org/2001/XMLSchema-instance" xsi:type="dcterms:W3CDTF">2026-09-29T14:00:25Z</dcterms:modified>
</cp:coreProperties>
</file>